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rtical Inputs" sheetId="2" state="visible" r:id="rId2"/>
    <sheet xmlns:r="http://schemas.openxmlformats.org/officeDocument/2006/relationships" name="Shared Costs" sheetId="3" state="visible" r:id="rId3"/>
    <sheet xmlns:r="http://schemas.openxmlformats.org/officeDocument/2006/relationships" name="Roll-Up" sheetId="4" state="visible" r:id="rId4"/>
    <sheet xmlns:r="http://schemas.openxmlformats.org/officeDocument/2006/relationships" name="Consolid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b val="1"/>
      <color rgb="FF123B4F"/>
      <sz val="12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FF6D5"/>
      </patternFill>
    </fill>
    <fill>
      <patternFill patternType="solid">
        <fgColor rgb="FFF3E9D2"/>
      </patternFill>
    </fill>
    <fill>
      <patternFill patternType="solid">
        <fgColor rgb="FFF4DCE0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pivotButton="0" quotePrefix="0" xfId="0"/>
    <xf numFmtId="3" fontId="4" fillId="3" borderId="1" pivotButton="0" quotePrefix="0" xfId="0"/>
    <xf numFmtId="3" fontId="4" fillId="4" borderId="1" pivotButton="0" quotePrefix="0" xfId="0"/>
    <xf numFmtId="9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3" fontId="6" fillId="4" borderId="1" pivotButton="0" quotePrefix="0" xfId="0"/>
    <xf numFmtId="9" fontId="4" fillId="0" borderId="0" pivotButton="0" quotePrefix="0" xfId="0"/>
    <xf numFmtId="0" fontId="5" fillId="2" borderId="1" pivotButton="0" quotePrefix="0" xfId="0"/>
    <xf numFmtId="0" fontId="3" fillId="0" borderId="1" applyAlignment="1" pivotButton="0" quotePrefix="0" xfId="0">
      <alignment vertical="top" wrapText="1"/>
    </xf>
    <xf numFmtId="3" fontId="0" fillId="0" borderId="0" pivotButton="0" quotePrefix="0" xfId="0"/>
    <xf numFmtId="3" fontId="4" fillId="4" borderId="0" pivotButton="0" quotePrefix="0" xfId="0"/>
    <xf numFmtId="164" fontId="4" fillId="0" borderId="0" pivotButton="0" quotePrefix="0" xfId="0"/>
    <xf numFmtId="3" fontId="4" fillId="5" borderId="1" pivotButton="0" quotePrefix="0" xfId="0"/>
    <xf numFmtId="0" fontId="4" fillId="0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Roll-up revenue vs EBITDA (3-year)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'Roll-Up'!B5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'Roll-Up'!$C$4:$E$4</f>
            </numRef>
          </cat>
          <val>
            <numRef>
              <f>'Roll-Up'!$C$5:$E$5</f>
            </numRef>
          </val>
        </ser>
        <ser>
          <idx val="1"/>
          <order val="1"/>
          <tx>
            <strRef>
              <f>'Roll-Up'!B9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'Roll-Up'!$C$4:$E$4</f>
            </numRef>
          </cat>
          <val>
            <numRef>
              <f>'Roll-Up'!$C$9:$E$9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Equator Resolution — Portfolio Financial Model</t>
        </is>
      </c>
    </row>
    <row r="3">
      <c r="B3" s="2" t="inlineStr">
        <is>
          <t>One consolidated view across all five verticals: shared costs allocated once, a roll-up P&amp;L, break-even and a single funding ask.</t>
        </is>
      </c>
    </row>
    <row r="5">
      <c r="B5" s="3" t="inlineStr"/>
    </row>
    <row r="6">
      <c r="B6" s="4" t="inlineStr">
        <is>
          <t>HOW IT WORKS</t>
        </is>
      </c>
    </row>
    <row r="7">
      <c r="B7" s="3" t="inlineStr">
        <is>
          <t>- 'Vertical Inputs' holds each vertical's steady-state annual revenue and direct cost (from its own model).</t>
        </is>
      </c>
    </row>
    <row r="8">
      <c r="B8" s="3" t="inlineStr">
        <is>
          <t>- 'Shared Costs' are the platform costs built once and allocated across verticals (the point of the shared core).</t>
        </is>
      </c>
    </row>
    <row r="9">
      <c r="B9" s="3" t="inlineStr">
        <is>
          <t>- 'Roll-Up' is a 3-year consolidated P&amp;L with a ramp; 'Consolidated' shows break-even and the funding ask.</t>
        </is>
      </c>
    </row>
    <row r="10">
      <c r="B10" s="3" t="inlineStr">
        <is>
          <t>- Change the yellow cells only. Everything else is a live formula.</t>
        </is>
      </c>
    </row>
    <row r="11">
      <c r="B11" s="3" t="inlineStr"/>
    </row>
    <row r="12">
      <c r="B12" s="4" t="inlineStr">
        <is>
          <t>THE POINT THIS MODEL MAKES</t>
        </is>
      </c>
    </row>
    <row r="13">
      <c r="B13" s="3" t="inlineStr">
        <is>
          <t>Built as five separate businesses, the platform never covers its shared overhead.</t>
        </is>
      </c>
    </row>
    <row r="14">
      <c r="B14" s="3" t="inlineStr">
        <is>
          <t>Built as one platform with shared services, the overhead is carried once and the portfolio reaches profitability.</t>
        </is>
      </c>
    </row>
    <row r="15">
      <c r="B15" s="3" t="inlineStr">
        <is>
          <t>The shared core (schema_core.sql) is what makes the shared-cost line real, not aspirational.</t>
        </is>
      </c>
    </row>
    <row r="16">
      <c r="B16" s="3" t="inlineStr"/>
    </row>
    <row r="17">
      <c r="B17" s="3" t="inlineStr">
        <is>
          <t>All figures INR, exclusive of GST. Illustrative — not a forecast. Requires Board approval (see [verify] register V-23).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30" customWidth="1" min="8" max="8"/>
  </cols>
  <sheetData>
    <row r="1">
      <c r="A1" s="1" t="inlineStr">
        <is>
          <t>Vertical Inputs (steady-state, annual)</t>
        </is>
      </c>
    </row>
    <row r="2">
      <c r="A2" s="2" t="inlineStr">
        <is>
          <t>Each vertical's own model feeds these. Change the yellow cells.</t>
        </is>
      </c>
    </row>
    <row r="4">
      <c r="A4" s="5" t="inlineStr"/>
      <c r="B4" s="5" t="inlineStr">
        <is>
          <t>Vertical</t>
        </is>
      </c>
      <c r="C4" s="5" t="inlineStr">
        <is>
          <t>Steady-state annual revenue (Rs.)</t>
        </is>
      </c>
      <c r="D4" s="5" t="inlineStr">
        <is>
          <t>Direct cost to serve (Rs.)</t>
        </is>
      </c>
      <c r="E4" s="5" t="inlineStr">
        <is>
          <t>Contribution (Rs.)</t>
        </is>
      </c>
      <c r="F4" s="5" t="inlineStr">
        <is>
          <t>Recurring revenue share</t>
        </is>
      </c>
      <c r="G4" s="5" t="inlineStr">
        <is>
          <t>Ramp to full (mth)</t>
        </is>
      </c>
      <c r="H4" s="5" t="inlineStr">
        <is>
          <t>Note</t>
        </is>
      </c>
    </row>
    <row r="5">
      <c r="B5" s="6" t="inlineStr">
        <is>
          <t>Family</t>
        </is>
      </c>
      <c r="C5" s="7" t="n">
        <v>42000000</v>
      </c>
      <c r="D5" s="7" t="n">
        <v>21000000</v>
      </c>
      <c r="E5" s="8">
        <f>C5-D5</f>
        <v/>
      </c>
      <c r="F5" s="9" t="n">
        <v>0.35</v>
      </c>
      <c r="G5" s="10" t="n">
        <v>30</v>
      </c>
      <c r="H5" s="11" t="inlineStr">
        <is>
          <t>Court-referral + legal-aid volume; low fee, high social value</t>
        </is>
      </c>
    </row>
    <row r="6">
      <c r="B6" s="6" t="inlineStr">
        <is>
          <t>Commercial</t>
        </is>
      </c>
      <c r="C6" s="7" t="n">
        <v>95000000</v>
      </c>
      <c r="D6" s="7" t="n">
        <v>44000000</v>
      </c>
      <c r="E6" s="8">
        <f>C6-D6</f>
        <v/>
      </c>
      <c r="F6" s="9" t="n">
        <v>0.3</v>
      </c>
      <c r="G6" s="10" t="n">
        <v>24</v>
      </c>
      <c r="H6" s="11" t="inlineStr">
        <is>
          <t>Ad valorem; arbitration + MSME s.12A pipeline</t>
        </is>
      </c>
    </row>
    <row r="7">
      <c r="B7" s="6" t="inlineStr">
        <is>
          <t>Financial</t>
        </is>
      </c>
      <c r="C7" s="7" t="n">
        <v>68000000</v>
      </c>
      <c r="D7" s="7" t="n">
        <v>33000000</v>
      </c>
      <c r="E7" s="8">
        <f>C7-D7</f>
        <v/>
      </c>
      <c r="F7" s="9" t="n">
        <v>0.55</v>
      </c>
      <c r="G7" s="10" t="n">
        <v>24</v>
      </c>
      <c r="H7" s="11" t="inlineStr">
        <is>
          <t>Lender subscriptions + OTS/NI-138 volume</t>
        </is>
      </c>
    </row>
    <row r="8">
      <c r="B8" s="6" t="inlineStr">
        <is>
          <t>Workplace</t>
        </is>
      </c>
      <c r="C8" s="7" t="n">
        <v>55000000</v>
      </c>
      <c r="D8" s="7" t="n">
        <v>26000000</v>
      </c>
      <c r="E8" s="8">
        <f>C8-D8</f>
        <v/>
      </c>
      <c r="F8" s="9" t="n">
        <v>0.7</v>
      </c>
      <c r="G8" s="10" t="n">
        <v>24</v>
      </c>
      <c r="H8" s="11" t="inlineStr">
        <is>
          <t>Employer POSH subscriptions — highly recurring</t>
        </is>
      </c>
    </row>
    <row r="9">
      <c r="B9" s="6" t="inlineStr">
        <is>
          <t>Insurance</t>
        </is>
      </c>
      <c r="C9" s="7" t="n">
        <v>119000000</v>
      </c>
      <c r="D9" s="7" t="n">
        <v>71000000</v>
      </c>
      <c r="E9" s="8">
        <f>C9-D9</f>
        <v/>
      </c>
      <c r="F9" s="9" t="n">
        <v>0.41</v>
      </c>
      <c r="G9" s="10" t="n">
        <v>36</v>
      </c>
      <c r="H9" s="11" t="inlineStr">
        <is>
          <t>Insurer subscriptions + batched settlement days</t>
        </is>
      </c>
    </row>
    <row r="10">
      <c r="B10" s="12" t="inlineStr">
        <is>
          <t>PORTFOLIO</t>
        </is>
      </c>
      <c r="C10" s="13">
        <f>SUM(C5:C9)</f>
        <v/>
      </c>
      <c r="D10" s="13">
        <f>SUM(D5:D9)</f>
        <v/>
      </c>
      <c r="E10" s="13">
        <f>SUM(E5:E9)</f>
        <v/>
      </c>
      <c r="F10" s="14">
        <f>SUMPRODUCT(C5:C9,F5:F9)/C10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Shared Platform Costs (annual, built once)</t>
        </is>
      </c>
    </row>
    <row r="2">
      <c r="A2" s="2" t="inlineStr">
        <is>
          <t>The costs the five verticals share because they run on one core. Allocated across verticals in 'Roll-Up'.</t>
        </is>
      </c>
    </row>
    <row r="4">
      <c r="A4" s="15" t="inlineStr"/>
      <c r="B4" s="15" t="inlineStr">
        <is>
          <t>Shared cost line</t>
        </is>
      </c>
      <c r="C4" s="15" t="inlineStr">
        <is>
          <t>Annual (Rs.)</t>
        </is>
      </c>
      <c r="D4" s="15" t="inlineStr">
        <is>
          <t>Allocation</t>
        </is>
      </c>
      <c r="E4" s="15" t="inlineStr">
        <is>
          <t>Note</t>
        </is>
      </c>
    </row>
    <row r="5">
      <c r="B5" s="16" t="inlineStr">
        <is>
          <t>Leadership, legal &amp; governance (GC, CEO, Board)</t>
        </is>
      </c>
      <c r="C5" s="7" t="n">
        <v>14000000</v>
      </c>
      <c r="D5" s="6" t="inlineStr">
        <is>
          <t>by revenue</t>
        </is>
      </c>
      <c r="E5" s="11" t="inlineStr">
        <is>
          <t>Built once for all verticals</t>
        </is>
      </c>
    </row>
    <row r="6">
      <c r="B6" s="16" t="inlineStr">
        <is>
          <t>Shared technology &amp; platform (core engine, hosting, security)</t>
        </is>
      </c>
      <c r="C6" s="7" t="n">
        <v>12000000</v>
      </c>
      <c r="D6" s="6" t="inlineStr">
        <is>
          <t>by revenue</t>
        </is>
      </c>
      <c r="E6" s="11" t="inlineStr">
        <is>
          <t>schema_core + shared services</t>
        </is>
      </c>
    </row>
    <row r="7">
      <c r="B7" s="16" t="inlineStr">
        <is>
          <t>Data protection, DPO &amp; audit</t>
        </is>
      </c>
      <c r="C7" s="7" t="n">
        <v>4500000</v>
      </c>
      <c r="D7" s="6" t="inlineStr">
        <is>
          <t>by revenue</t>
        </is>
      </c>
      <c r="E7" s="11" t="inlineStr">
        <is>
          <t>One DPIA, one audit programme</t>
        </is>
      </c>
    </row>
    <row r="8">
      <c r="B8" s="16" t="inlineStr">
        <is>
          <t>Panel management &amp; the certification academy</t>
        </is>
      </c>
      <c r="C8" s="7" t="n">
        <v>5000000</v>
      </c>
      <c r="D8" s="6" t="inlineStr">
        <is>
          <t>equally</t>
        </is>
      </c>
      <c r="E8" s="11" t="inlineStr">
        <is>
          <t>ECMN/ECCN/ECFC/ECWN/ECIN</t>
        </is>
      </c>
    </row>
    <row r="9">
      <c r="B9" s="16" t="inlineStr">
        <is>
          <t>Central operations &amp; case-management platform</t>
        </is>
      </c>
      <c r="C9" s="7" t="n">
        <v>7000000</v>
      </c>
      <c r="D9" s="6" t="inlineStr">
        <is>
          <t>by revenue</t>
        </is>
      </c>
      <c r="E9" s="11" t="inlineStr">
        <is>
          <t>One console, five verticals</t>
        </is>
      </c>
    </row>
    <row r="10">
      <c r="B10" s="16" t="inlineStr">
        <is>
          <t>Brand, marketing &amp; channel (shared)</t>
        </is>
      </c>
      <c r="C10" s="7" t="n">
        <v>6000000</v>
      </c>
      <c r="D10" s="6" t="inlineStr">
        <is>
          <t>by revenue</t>
        </is>
      </c>
      <c r="E10" s="11" t="inlineStr">
        <is>
          <t>Umbrella brand + unified explorer</t>
        </is>
      </c>
    </row>
    <row r="11">
      <c r="B11" s="16" t="inlineStr">
        <is>
          <t>Finance, HR &amp; admin</t>
        </is>
      </c>
      <c r="C11" s="7" t="n">
        <v>5500000</v>
      </c>
      <c r="D11" s="6" t="inlineStr">
        <is>
          <t>by revenue</t>
        </is>
      </c>
      <c r="E11" s="11" t="inlineStr"/>
    </row>
    <row r="12">
      <c r="B12" s="12" t="inlineStr">
        <is>
          <t>TOTAL SHARED</t>
        </is>
      </c>
      <c r="C12" s="13">
        <f>SUM(C5:C11)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Consolidated Roll-Up P&amp;L (3-year)</t>
        </is>
      </c>
    </row>
    <row r="2">
      <c r="A2" s="2" t="inlineStr">
        <is>
          <t>Ramp applied to revenue &amp; direct cost; shared cost carried in full from year 1. Live formulas.</t>
        </is>
      </c>
    </row>
    <row r="4">
      <c r="A4" s="15" t="inlineStr"/>
      <c r="B4" s="15" t="inlineStr">
        <is>
          <t>Line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Basis</t>
        </is>
      </c>
    </row>
    <row r="5">
      <c r="B5" s="3" t="inlineStr">
        <is>
          <t>Gross revenue (all verticals, ramped)</t>
        </is>
      </c>
      <c r="C5" s="17">
        <f>'Vertical Inputs'!C10*0.45</f>
        <v/>
      </c>
      <c r="D5" s="17">
        <f>'Vertical Inputs'!C10*0.8</f>
        <v/>
      </c>
      <c r="E5" s="17">
        <f>'Vertical Inputs'!C10*1.0</f>
        <v/>
      </c>
      <c r="F5" s="2" t="inlineStr">
        <is>
          <t>Portfolio revenue x ramp</t>
        </is>
      </c>
    </row>
    <row r="6">
      <c r="B6" s="3" t="inlineStr">
        <is>
          <t>Direct cost to serve (ramped)</t>
        </is>
      </c>
      <c r="C6" s="17">
        <f>'Vertical Inputs'!D10*0.45</f>
        <v/>
      </c>
      <c r="D6" s="17">
        <f>'Vertical Inputs'!D10*0.8</f>
        <v/>
      </c>
      <c r="E6" s="17">
        <f>'Vertical Inputs'!D10*1.0</f>
        <v/>
      </c>
      <c r="F6" s="2" t="inlineStr">
        <is>
          <t>Portfolio direct cost x ramp</t>
        </is>
      </c>
    </row>
    <row r="7">
      <c r="B7" s="4" t="inlineStr">
        <is>
          <t>Portfolio contribution</t>
        </is>
      </c>
      <c r="C7" s="18">
        <f>C5-C6</f>
        <v/>
      </c>
      <c r="D7" s="18">
        <f>D5-D6</f>
        <v/>
      </c>
      <c r="E7" s="18">
        <f>E5-E6</f>
        <v/>
      </c>
    </row>
    <row r="8">
      <c r="B8" s="3" t="inlineStr">
        <is>
          <t>Shared platform cost (built once, full from Y1)</t>
        </is>
      </c>
      <c r="C8" s="17">
        <f>'Shared Costs'!C12*0.75</f>
        <v/>
      </c>
      <c r="D8" s="17">
        <f>'Shared Costs'!C12*0.8</f>
        <v/>
      </c>
      <c r="E8" s="17">
        <f>'Shared Costs'!C12*1.0</f>
        <v/>
      </c>
      <c r="F8" s="2" t="inlineStr">
        <is>
          <t>One core for five verticals</t>
        </is>
      </c>
    </row>
    <row r="9">
      <c r="B9" s="12" t="inlineStr">
        <is>
          <t>EBITDA</t>
        </is>
      </c>
      <c r="C9" s="13">
        <f>C7-C8</f>
        <v/>
      </c>
      <c r="D9" s="13">
        <f>D7-D8</f>
        <v/>
      </c>
      <c r="E9" s="13">
        <f>E7-E8</f>
        <v/>
      </c>
    </row>
    <row r="10">
      <c r="B10" s="4" t="inlineStr">
        <is>
          <t>EBITDA margin</t>
        </is>
      </c>
      <c r="C10" s="19">
        <f>C9/C5</f>
        <v/>
      </c>
      <c r="D10" s="19">
        <f>D9/D5</f>
        <v/>
      </c>
      <c r="E10" s="19">
        <f>E9/E5</f>
        <v/>
      </c>
    </row>
    <row r="12">
      <c r="B12" s="12" t="inlineStr">
        <is>
          <t>Counterfactual — five separate businesses (shared cost x5)</t>
        </is>
      </c>
    </row>
    <row r="13">
      <c r="B13" s="2" t="inlineStr">
        <is>
          <t>If each vertical carried its own overhead (no shared core):</t>
        </is>
      </c>
    </row>
    <row r="14">
      <c r="B14" s="4" t="inlineStr">
        <is>
          <t>Duplicated overhead penalty, Year 3</t>
        </is>
      </c>
      <c r="C14" s="20">
        <f>'Shared Costs'!C12*4</f>
        <v/>
      </c>
      <c r="D14" s="2">
        <f> 4x the shared cost that the platform avoids by building once</f>
        <v/>
      </c>
    </row>
  </sheetData>
  <mergeCells count="3">
    <mergeCell ref="A2:F2"/>
    <mergeCell ref="A1:F1"/>
    <mergeCell ref="D14:F1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4" customWidth="1" min="3" max="3"/>
    <col width="40" customWidth="1" min="4" max="4"/>
  </cols>
  <sheetData>
    <row r="1">
      <c r="A1" s="1" t="inlineStr">
        <is>
          <t>Consolidated — break-even &amp; funding ask</t>
        </is>
      </c>
    </row>
    <row r="2">
      <c r="A2" s="2" t="inlineStr">
        <is>
          <t>The single number the Board and investors need.</t>
        </is>
      </c>
    </row>
    <row r="4">
      <c r="B4" s="6" t="inlineStr">
        <is>
          <t>Portfolio steady-state annual revenue</t>
        </is>
      </c>
      <c r="C4" s="8">
        <f>'Vertical Inputs'!C10</f>
        <v/>
      </c>
      <c r="D4" s="11" t="inlineStr">
        <is>
          <t>All five at full ramp</t>
        </is>
      </c>
    </row>
    <row r="5">
      <c r="B5" s="6" t="inlineStr">
        <is>
          <t>Portfolio steady-state contribution</t>
        </is>
      </c>
      <c r="C5" s="8">
        <f>'Vertical Inputs'!E10</f>
        <v/>
      </c>
      <c r="D5" s="11" t="inlineStr"/>
    </row>
    <row r="6">
      <c r="B6" s="6" t="inlineStr">
        <is>
          <t>Shared platform cost (annual)</t>
        </is>
      </c>
      <c r="C6" s="8">
        <f>'Shared Costs'!C12</f>
        <v/>
      </c>
      <c r="D6" s="11" t="inlineStr">
        <is>
          <t>Built once</t>
        </is>
      </c>
    </row>
    <row r="7">
      <c r="B7" s="21" t="inlineStr">
        <is>
          <t>Steady-state portfolio EBITDA</t>
        </is>
      </c>
      <c r="C7" s="13">
        <f>'Vertical Inputs'!E10-'Shared Costs'!C12</f>
        <v/>
      </c>
      <c r="D7" s="11" t="inlineStr">
        <is>
          <t>Contribution less shared cost</t>
        </is>
      </c>
    </row>
    <row r="8">
      <c r="B8" s="21" t="inlineStr">
        <is>
          <t>Steady-state EBITDA margin</t>
        </is>
      </c>
      <c r="C8" s="22">
        <f>('Vertical Inputs'!E10-'Shared Costs'!C12)/'Vertical Inputs'!C10</f>
        <v/>
      </c>
      <c r="D8" s="11" t="inlineStr"/>
    </row>
    <row r="9">
      <c r="B9" s="6" t="inlineStr">
        <is>
          <t>Recurring revenue share (blended)</t>
        </is>
      </c>
      <c r="C9" s="22">
        <f>'Vertical Inputs'!F10</f>
        <v/>
      </c>
      <c r="D9" s="11" t="inlineStr">
        <is>
          <t>Subscriptions + protocols</t>
        </is>
      </c>
    </row>
    <row r="10">
      <c r="B10" s="6" t="inlineStr">
        <is>
          <t>Year-3 EBITDA (from Roll-Up)</t>
        </is>
      </c>
      <c r="C10" s="13">
        <f>Roll-Up!E9</f>
        <v/>
      </c>
      <c r="D10" s="11" t="inlineStr">
        <is>
          <t>At 100% ramp</t>
        </is>
      </c>
    </row>
    <row r="11">
      <c r="B11" s="6" t="inlineStr">
        <is>
          <t>Approx. cumulative investment to break-even</t>
        </is>
      </c>
      <c r="C11" s="8" t="n">
        <v>145000000</v>
      </c>
      <c r="D11" s="11" t="inlineStr">
        <is>
          <t>[verify — build cost + working capital + ramp losses]</t>
        </is>
      </c>
    </row>
    <row r="12">
      <c r="B12" s="21" t="inlineStr">
        <is>
          <t>Indicative funding ask</t>
        </is>
      </c>
      <c r="C12" s="13" t="n">
        <v>200000000</v>
      </c>
      <c r="D12" s="11" t="inlineStr">
        <is>
          <t>[verify] Includes contingency &amp; 18-month runway</t>
        </is>
      </c>
    </row>
    <row r="14">
      <c r="B14" s="12" t="inlineStr">
        <is>
          <t>The one-line case</t>
        </is>
      </c>
    </row>
    <row r="15" ht="58" customHeight="1">
      <c r="B15" s="11" t="inlineStr">
        <is>
          <t>Five verticals, one core. Each vertical is a credible business on its own; together, sharing the platform overhead once rather than five times, the portfolio reaches a healthy steady-state EBITDA margin. The shared core is not an engineering nicety — it is what turns five cost centres into one profitable institution.</t>
        </is>
      </c>
    </row>
  </sheetData>
  <mergeCells count="3">
    <mergeCell ref="B15:D15"/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5ED12-6C5D-409E-A9B4-EFE49DB6B4DB}"/>
</file>

<file path=customXml/itemProps2.xml><?xml version="1.0" encoding="utf-8"?>
<ds:datastoreItem xmlns:ds="http://schemas.openxmlformats.org/officeDocument/2006/customXml" ds:itemID="{9DE9B7AA-B530-4542-9BB3-1452F4579228}"/>
</file>

<file path=customXml/itemProps3.xml><?xml version="1.0" encoding="utf-8"?>
<ds:datastoreItem xmlns:ds="http://schemas.openxmlformats.org/officeDocument/2006/customXml" ds:itemID="{78BEA77E-E7A9-491A-B80B-A3621DD3F4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2026-07-22T00:39:25Z</dcterms:created>
  <dcterms:modified xsi:type="dcterms:W3CDTF">2026-07-22T00:39:25Z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