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Fee Estim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1"/>
    </font>
    <font>
      <name val="Arial"/>
      <b val="1"/>
      <color rgb="FFFFFFFF"/>
      <sz val="10"/>
    </font>
    <font>
      <name val="Arial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4" borderId="0" pivotButton="0" quotePrefix="0" xfId="0"/>
    <xf numFmtId="0" fontId="0" fillId="4" borderId="0" pivotButton="0" quotePrefix="0" xfId="0"/>
    <xf numFmtId="3" fontId="7" fillId="5" borderId="1" pivotButton="0" quotePrefix="0" xfId="0"/>
    <xf numFmtId="1" fontId="7" fillId="5" borderId="1" pivotButton="0" quotePrefix="0" xfId="0"/>
    <xf numFmtId="164" fontId="7" fillId="5" borderId="1" pivotButton="0" quotePrefix="0" xfId="0"/>
    <xf numFmtId="3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2" customWidth="1" min="2" max="2"/>
  </cols>
  <sheetData>
    <row r="2">
      <c r="B2" s="1" t="inlineStr">
        <is>
          <t>Equator Resolution — Schedule of Fees (Workplace &amp; HR)</t>
        </is>
      </c>
    </row>
    <row r="3">
      <c r="B3" s="2" t="inlineStr">
        <is>
          <t>Published tariff for workplace mediation and POSH support services.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'Fee Schedule' is the published tariff; 'Fee Estimator' gives an indicative total.</t>
        </is>
      </c>
    </row>
    <row r="8">
      <c r="B8" s="3" t="inlineStr">
        <is>
          <t>- In an individual employee matter the employer ordinarily bears the larger share.</t>
        </is>
      </c>
    </row>
    <row r="9">
      <c r="B9" s="3" t="inlineStr">
        <is>
          <t>- POSH services are sold to employers as a subscription; they are never charged to a complainant.</t>
        </is>
      </c>
    </row>
    <row r="10">
      <c r="B10" s="3" t="inlineStr">
        <is>
          <t>- Illustrative; Board approval and market benchmarking required before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22" customWidth="1" min="4" max="4"/>
    <col width="32" customWidth="1" min="5" max="5"/>
  </cols>
  <sheetData>
    <row r="2">
      <c r="B2" s="1" t="inlineStr">
        <is>
          <t>Schedule of Fees — Workplace &amp; HR</t>
        </is>
      </c>
    </row>
    <row r="3">
      <c r="B3" s="2" t="inlineStr">
        <is>
          <t>All amounts in ₹, exclusive of taxes. Per matter unless stated.</t>
        </is>
      </c>
    </row>
    <row r="5">
      <c r="B5" s="5" t="inlineStr">
        <is>
          <t>1. Mediation — registration &amp; administration</t>
        </is>
      </c>
    </row>
    <row r="6">
      <c r="B6" s="6" t="inlineStr">
        <is>
          <t>Matter type</t>
        </is>
      </c>
      <c r="C6" s="6" t="inlineStr">
        <is>
          <t>Registration</t>
        </is>
      </c>
      <c r="D6" s="6" t="inlineStr">
        <is>
          <t>Administration</t>
        </is>
      </c>
      <c r="E6" s="6" t="inlineStr">
        <is>
          <t>Notes</t>
        </is>
      </c>
    </row>
    <row r="7">
      <c r="B7" s="7" t="inlineStr">
        <is>
          <t>Wage / F&amp;F dues (individual)</t>
        </is>
      </c>
      <c r="C7" s="7" t="inlineStr">
        <is>
          <t>500</t>
        </is>
      </c>
      <c r="D7" s="7" t="inlineStr">
        <is>
          <t>2,500</t>
        </is>
      </c>
      <c r="E7" s="7" t="inlineStr">
        <is>
          <t>Employee concession applies</t>
        </is>
      </c>
    </row>
    <row r="8">
      <c r="B8" s="8" t="inlineStr">
        <is>
          <t>Separation / termination settlement</t>
        </is>
      </c>
      <c r="C8" s="8" t="inlineStr">
        <is>
          <t>1,000</t>
        </is>
      </c>
      <c r="D8" s="8" t="inlineStr">
        <is>
          <t>5,000</t>
        </is>
      </c>
      <c r="E8" s="8" t="inlineStr"/>
    </row>
    <row r="9">
      <c r="B9" s="7" t="inlineStr">
        <is>
          <t>Notice period / bond / restraint</t>
        </is>
      </c>
      <c r="C9" s="7" t="inlineStr">
        <is>
          <t>1,000</t>
        </is>
      </c>
      <c r="D9" s="7" t="inlineStr">
        <is>
          <t>5,000</t>
        </is>
      </c>
      <c r="E9" s="7" t="inlineStr"/>
    </row>
    <row r="10">
      <c r="B10" s="8" t="inlineStr">
        <is>
          <t>Benefits (gratuity/PF/ESI)</t>
        </is>
      </c>
      <c r="C10" s="8" t="inlineStr">
        <is>
          <t>500</t>
        </is>
      </c>
      <c r="D10" s="8" t="inlineStr">
        <is>
          <t>2,500</t>
        </is>
      </c>
      <c r="E10" s="8" t="inlineStr"/>
    </row>
    <row r="11">
      <c r="B11" s="7" t="inlineStr">
        <is>
          <t>Grievance (post-GRC)</t>
        </is>
      </c>
      <c r="C11" s="7" t="inlineStr">
        <is>
          <t>500</t>
        </is>
      </c>
      <c r="D11" s="7" t="inlineStr">
        <is>
          <t>2,000</t>
        </is>
      </c>
      <c r="E11" s="7" t="inlineStr"/>
    </row>
    <row r="12">
      <c r="B12" s="8" t="inlineStr">
        <is>
          <t>Employer panel (bulk referral)</t>
        </is>
      </c>
      <c r="C12" s="8" t="inlineStr">
        <is>
          <t>Negotiated</t>
        </is>
      </c>
      <c r="D12" s="8" t="inlineStr">
        <is>
          <t>Per SLA</t>
        </is>
      </c>
      <c r="E12" s="8" t="inlineStr">
        <is>
          <t>Volume pricing</t>
        </is>
      </c>
    </row>
    <row r="14">
      <c r="B14" s="5" t="inlineStr">
        <is>
          <t>2. Neutral fee (per session up to 90 minutes)</t>
        </is>
      </c>
    </row>
    <row r="15">
      <c r="B15" s="6" t="inlineStr">
        <is>
          <t>Grade</t>
        </is>
      </c>
      <c r="C15" s="6" t="inlineStr">
        <is>
          <t>Per session</t>
        </is>
      </c>
      <c r="D15" s="6" t="inlineStr">
        <is>
          <t>Half-day</t>
        </is>
      </c>
      <c r="E15" s="6" t="inlineStr">
        <is>
          <t>Notes</t>
        </is>
      </c>
    </row>
    <row r="16">
      <c r="B16" s="8" t="inlineStr">
        <is>
          <t>Grade C</t>
        </is>
      </c>
      <c r="C16" s="8" t="inlineStr">
        <is>
          <t>3,000</t>
        </is>
      </c>
      <c r="D16" s="8" t="inlineStr">
        <is>
          <t>8,000</t>
        </is>
      </c>
      <c r="E16" s="8" t="inlineStr">
        <is>
          <t>Straightforward dues</t>
        </is>
      </c>
    </row>
    <row r="17">
      <c r="B17" s="7" t="inlineStr">
        <is>
          <t>Grade B</t>
        </is>
      </c>
      <c r="C17" s="7" t="inlineStr">
        <is>
          <t>6,000</t>
        </is>
      </c>
      <c r="D17" s="7" t="inlineStr">
        <is>
          <t>15,000</t>
        </is>
      </c>
      <c r="E17" s="7" t="inlineStr">
        <is>
          <t>Mainstream</t>
        </is>
      </c>
    </row>
    <row r="18">
      <c r="B18" s="8" t="inlineStr">
        <is>
          <t>Grade A</t>
        </is>
      </c>
      <c r="C18" s="8" t="inlineStr">
        <is>
          <t>12,000</t>
        </is>
      </c>
      <c r="D18" s="8" t="inlineStr">
        <is>
          <t>30,000</t>
        </is>
      </c>
      <c r="E18" s="8" t="inlineStr">
        <is>
          <t>Complex / senior executive / high value</t>
        </is>
      </c>
    </row>
    <row r="20">
      <c r="B20" s="5" t="inlineStr">
        <is>
          <t>3. POSH services (to employers — never charged to a complainant)</t>
        </is>
      </c>
    </row>
    <row r="21">
      <c r="B21" s="6" t="inlineStr">
        <is>
          <t>Service</t>
        </is>
      </c>
      <c r="C21" s="6" t="inlineStr">
        <is>
          <t>Fee</t>
        </is>
      </c>
      <c r="D21" s="6" t="inlineStr"/>
      <c r="E21" s="6" t="inlineStr">
        <is>
          <t>Notes</t>
        </is>
      </c>
    </row>
    <row r="22">
      <c r="B22" s="8" t="inlineStr">
        <is>
          <t>External IC member — annual retainer</t>
        </is>
      </c>
      <c r="C22" s="8" t="inlineStr">
        <is>
          <t>60,000 per year</t>
        </is>
      </c>
      <c r="D22" s="8" t="inlineStr"/>
      <c r="E22" s="8" t="inlineStr">
        <is>
          <t>Includes availability for meetings</t>
        </is>
      </c>
    </row>
    <row r="23">
      <c r="B23" s="7" t="inlineStr">
        <is>
          <t>External IC member — per complaint</t>
        </is>
      </c>
      <c r="C23" s="7" t="inlineStr">
        <is>
          <t>15,000 per inquiry</t>
        </is>
      </c>
      <c r="D23" s="7" t="inlineStr"/>
      <c r="E23" s="7" t="inlineStr">
        <is>
          <t>Alternative to retainer</t>
        </is>
      </c>
    </row>
    <row r="24">
      <c r="B24" s="8" t="inlineStr">
        <is>
          <t>IC training (half-day, up to 15 people)</t>
        </is>
      </c>
      <c r="C24" s="8" t="inlineStr">
        <is>
          <t>35,000</t>
        </is>
      </c>
      <c r="D24" s="8" t="inlineStr"/>
      <c r="E24" s="8" t="inlineStr">
        <is>
          <t>Refreshed annually</t>
        </is>
      </c>
    </row>
    <row r="25">
      <c r="B25" s="7" t="inlineStr">
        <is>
          <t>Employee awareness session (per session)</t>
        </is>
      </c>
      <c r="C25" s="7" t="inlineStr">
        <is>
          <t>15,000</t>
        </is>
      </c>
      <c r="D25" s="7" t="inlineStr"/>
      <c r="E25" s="7" t="inlineStr">
        <is>
          <t>Bilingual available</t>
        </is>
      </c>
    </row>
    <row r="26">
      <c r="B26" s="8" t="inlineStr">
        <is>
          <t>Annual-report preparation support</t>
        </is>
      </c>
      <c r="C26" s="8" t="inlineStr">
        <is>
          <t>20,000</t>
        </is>
      </c>
      <c r="D26" s="8" t="inlineStr"/>
      <c r="E26" s="8" t="inlineStr">
        <is>
          <t>Statutory filing support</t>
        </is>
      </c>
    </row>
    <row r="27">
      <c r="B27" s="7" t="inlineStr">
        <is>
          <t>POSH compliance audit</t>
        </is>
      </c>
      <c r="C27" s="7" t="inlineStr">
        <is>
          <t>50,000</t>
        </is>
      </c>
      <c r="D27" s="7" t="inlineStr"/>
      <c r="E27" s="7" t="inlineStr">
        <is>
          <t>Policy, IC, records, training</t>
        </is>
      </c>
    </row>
    <row r="29">
      <c r="B29" s="5" t="inlineStr">
        <is>
          <t>4. Ancillary &amp; concessions</t>
        </is>
      </c>
    </row>
    <row r="30">
      <c r="B30" s="6" t="inlineStr">
        <is>
          <t>Item</t>
        </is>
      </c>
      <c r="C30" s="6" t="inlineStr">
        <is>
          <t>Charge</t>
        </is>
      </c>
      <c r="D30" s="6" t="inlineStr"/>
      <c r="E30" s="6" t="inlineStr">
        <is>
          <t>Notes</t>
        </is>
      </c>
    </row>
    <row r="31">
      <c r="B31" s="7" t="inlineStr">
        <is>
          <t>Escrow handling</t>
        </is>
      </c>
      <c r="C31" s="7" t="inlineStr">
        <is>
          <t>0.25% of sum held (min 1,000)</t>
        </is>
      </c>
      <c r="D31" s="7" t="inlineStr"/>
      <c r="E31" s="7" t="inlineStr">
        <is>
          <t>Regulated agent</t>
        </is>
      </c>
    </row>
    <row r="32">
      <c r="B32" s="8" t="inlineStr">
        <is>
          <t>Shuttle mediation surcharge</t>
        </is>
      </c>
      <c r="C32" s="8" t="inlineStr">
        <is>
          <t>25% of neutral fee</t>
        </is>
      </c>
      <c r="D32" s="8" t="inlineStr"/>
      <c r="E32" s="8" t="inlineStr"/>
    </row>
    <row r="33">
      <c r="B33" s="7" t="inlineStr">
        <is>
          <t>Individual-employee concession</t>
        </is>
      </c>
      <c r="C33" s="7" t="inlineStr">
        <is>
          <t>50–100% waiver of registration &amp; administration</t>
        </is>
      </c>
      <c r="D33" s="7" t="inlineStr"/>
      <c r="E33" s="7" t="inlineStr">
        <is>
          <t>Means basis</t>
        </is>
      </c>
    </row>
    <row r="34">
      <c r="B34" s="8" t="inlineStr">
        <is>
          <t>Legal-aid / DLSA referred</t>
        </is>
      </c>
      <c r="C34" s="8" t="inlineStr">
        <is>
          <t>Nil institutional fee</t>
        </is>
      </c>
      <c r="D34" s="8" t="inlineStr"/>
      <c r="E34" s="8" t="inlineStr"/>
    </row>
    <row r="35">
      <c r="B35" s="7" t="inlineStr">
        <is>
          <t>Adjournment at a party's instance</t>
        </is>
      </c>
      <c r="C35" s="7" t="inlineStr">
        <is>
          <t>1,000</t>
        </is>
      </c>
      <c r="D35" s="7" t="inlineStr"/>
      <c r="E35" s="7" t="inlineStr"/>
    </row>
    <row r="37">
      <c r="B37" s="2" t="inlineStr">
        <is>
          <t>In an individual employee matter the employer ordinarily bears the larger share. No employee is denied access for inability to pay.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</cols>
  <sheetData>
    <row r="2">
      <c r="B2" s="1" t="inlineStr">
        <is>
          <t>Indicative Fee Estimator</t>
        </is>
      </c>
    </row>
    <row r="3">
      <c r="B3" s="2" t="inlineStr">
        <is>
          <t>Edit the yellow inputs; the estimate updates automatically.</t>
        </is>
      </c>
    </row>
    <row r="5">
      <c r="B5" s="9" t="inlineStr">
        <is>
          <t>MEDIATION</t>
        </is>
      </c>
      <c r="C5" s="10" t="inlineStr"/>
    </row>
    <row r="6">
      <c r="B6" s="3" t="inlineStr">
        <is>
          <t>Registration (₹)</t>
        </is>
      </c>
      <c r="C6" s="11" t="n">
        <v>1000</v>
      </c>
    </row>
    <row r="7">
      <c r="B7" s="3" t="inlineStr">
        <is>
          <t>Administration (₹)</t>
        </is>
      </c>
      <c r="C7" s="11" t="n">
        <v>5000</v>
      </c>
    </row>
    <row r="8">
      <c r="B8" s="3" t="inlineStr">
        <is>
          <t>Neutral fee per session (₹)</t>
        </is>
      </c>
      <c r="C8" s="11" t="n">
        <v>6000</v>
      </c>
    </row>
    <row r="9">
      <c r="B9" s="3" t="inlineStr">
        <is>
          <t>Number of sessions</t>
        </is>
      </c>
      <c r="C9" s="12" t="n">
        <v>2</v>
      </c>
    </row>
    <row r="10">
      <c r="B10" s="3" t="inlineStr">
        <is>
          <t>Shuttle mediation? (1=yes,0=no)</t>
        </is>
      </c>
      <c r="C10" s="12" t="n">
        <v>0</v>
      </c>
    </row>
    <row r="11">
      <c r="B11" s="3" t="inlineStr">
        <is>
          <t>Escrow sum held (₹, 0 if none)</t>
        </is>
      </c>
      <c r="C11" s="11" t="n">
        <v>250000</v>
      </c>
    </row>
    <row r="12">
      <c r="B12" s="3" t="inlineStr">
        <is>
          <t>Employee concession on reg+admin (%)</t>
        </is>
      </c>
      <c r="C12" s="13" t="n">
        <v>0.5</v>
      </c>
    </row>
    <row r="14">
      <c r="B14" s="9" t="inlineStr">
        <is>
          <t>POSH SERVICES (employer)</t>
        </is>
      </c>
      <c r="C14" s="10" t="inlineStr"/>
    </row>
    <row r="15">
      <c r="B15" s="3" t="inlineStr">
        <is>
          <t>External IC member retainer (₹/yr, 0 if none)</t>
        </is>
      </c>
      <c r="C15" s="11" t="n">
        <v>0</v>
      </c>
    </row>
    <row r="16">
      <c r="B16" s="3" t="inlineStr">
        <is>
          <t>IC training sessions</t>
        </is>
      </c>
      <c r="C16" s="12" t="n">
        <v>0</v>
      </c>
    </row>
    <row r="18">
      <c r="B18" s="9" t="inlineStr">
        <is>
          <t>CALCULATED</t>
        </is>
      </c>
      <c r="C18" s="10" t="inlineStr"/>
    </row>
    <row r="19">
      <c r="B19" s="3" t="inlineStr">
        <is>
          <t>Neutral fees (₹)</t>
        </is>
      </c>
      <c r="C19" s="14">
        <f>C8*C9*(1+C10*0.25)</f>
        <v/>
      </c>
    </row>
    <row r="20">
      <c r="B20" s="3" t="inlineStr">
        <is>
          <t>Escrow handling (₹)</t>
        </is>
      </c>
      <c r="C20" s="14">
        <f>IF(C11&gt;0,MAX(1000,0.0025*C11),0)</f>
        <v/>
      </c>
    </row>
    <row r="21">
      <c r="B21" s="3" t="inlineStr">
        <is>
          <t>Registration + administration after concession (₹)</t>
        </is>
      </c>
      <c r="C21" s="14">
        <f>(C6+C7)*(1-C12)</f>
        <v/>
      </c>
    </row>
    <row r="22">
      <c r="B22" s="3" t="inlineStr">
        <is>
          <t>POSH services (₹)</t>
        </is>
      </c>
      <c r="C22" s="14">
        <f>C15+C16*35000</f>
        <v/>
      </c>
    </row>
    <row r="23">
      <c r="B23" s="4" t="inlineStr">
        <is>
          <t>Indicative TOTAL (₹)</t>
        </is>
      </c>
      <c r="C23" s="15">
        <f>C19+C20+C21+C22</f>
        <v/>
      </c>
    </row>
    <row r="24">
      <c r="B24" s="3" t="inlineStr">
        <is>
          <t>— mediation only (excl. POSH)</t>
        </is>
      </c>
      <c r="C24" s="14">
        <f>C19+C20+C21</f>
        <v/>
      </c>
    </row>
    <row r="26">
      <c r="B26" s="2" t="inlineStr">
        <is>
          <t>Indicative only; excludes taxes. POSH services are charged to the employer and never to a complainant.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137A1A-134A-4AF8-9808-B0243CA59860}"/>
</file>

<file path=customXml/itemProps2.xml><?xml version="1.0" encoding="utf-8"?>
<ds:datastoreItem xmlns:ds="http://schemas.openxmlformats.org/officeDocument/2006/customXml" ds:itemID="{90E69FB6-4481-41BA-B768-BFD067DF09C3}"/>
</file>

<file path=customXml/itemProps3.xml><?xml version="1.0" encoding="utf-8"?>
<ds:datastoreItem xmlns:ds="http://schemas.openxmlformats.org/officeDocument/2006/customXml" ds:itemID="{AF35BB57-3694-4F26-B899-F44C0340DD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2026-07-21T12:08:31Z</dcterms:created>
  <dcterms:modified xsi:type="dcterms:W3CDTF">2026-07-21T12:08:31Z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