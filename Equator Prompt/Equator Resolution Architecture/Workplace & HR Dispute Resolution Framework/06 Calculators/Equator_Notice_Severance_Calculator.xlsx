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Notice &amp; Sever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  <font>
      <name val="Arial"/>
      <color rgb="FF0000FF"/>
      <sz val="10"/>
    </font>
  </fonts>
  <fills count="4">
    <fill>
      <patternFill/>
    </fill>
    <fill>
      <patternFill patternType="gray125"/>
    </fill>
    <fill>
      <patternFill patternType="solid">
        <fgColor rgb="FF1E7A8C"/>
      </patternFill>
    </fill>
    <fill>
      <patternFill patternType="solid">
        <fgColor rgb="FFFFF6D5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3" fontId="6" fillId="3" borderId="1" pivotButton="0" quotePrefix="0" xfId="0"/>
    <xf numFmtId="1" fontId="6" fillId="3" borderId="1" pivotButton="0" quotePrefix="0" xfId="0"/>
    <xf numFmtId="1" fontId="3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Equator Resolution — Notice Pay &amp; Severance / Retrenchment Calculator</t>
        </is>
      </c>
    </row>
    <row r="3">
      <c r="B3" s="2" t="inlineStr">
        <is>
          <t>Notice pay in lieu, and retrenchment compensation under the Industrial Relations Code, 2020.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Edit the blue/yellow cells on 'Notice &amp; Severance'. Results update automatically.</t>
        </is>
      </c>
    </row>
    <row r="8">
      <c r="B8" s="3" t="inlineStr">
        <is>
          <t>- Notice pay in lieu = (monthly salary / 30) × notice days not served.</t>
        </is>
      </c>
    </row>
    <row r="9">
      <c r="B9" s="3" t="inlineStr">
        <is>
          <t>- Retrenchment compensation = 15 days' average pay × completed years (IR Code).</t>
        </is>
      </c>
    </row>
    <row r="10">
      <c r="B10" s="3" t="inlineStr">
        <is>
          <t>- Confirm the applicable notice terms, thresholds and any enhanced severance policy.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8" customWidth="1" min="3" max="3"/>
  </cols>
  <sheetData>
    <row r="2">
      <c r="B2" s="1" t="inlineStr">
        <is>
          <t>Notice Pay &amp; Severance</t>
        </is>
      </c>
    </row>
    <row r="3">
      <c r="B3" s="2" t="inlineStr">
        <is>
          <t>Blue/yellow = inputs; black = calculated.</t>
        </is>
      </c>
    </row>
    <row r="5">
      <c r="B5" s="5" t="inlineStr">
        <is>
          <t>NOTICE PAY IN LIEU</t>
        </is>
      </c>
    </row>
    <row r="6">
      <c r="B6" s="3" t="inlineStr">
        <is>
          <t>Monthly salary (₹)</t>
        </is>
      </c>
      <c r="C6" s="6" t="n">
        <v>60000</v>
      </c>
    </row>
    <row r="7">
      <c r="B7" s="3" t="inlineStr">
        <is>
          <t>Contractual notice period (days)</t>
        </is>
      </c>
      <c r="C7" s="7" t="n">
        <v>60</v>
      </c>
    </row>
    <row r="8">
      <c r="B8" s="3" t="inlineStr">
        <is>
          <t>Notice days actually served</t>
        </is>
      </c>
      <c r="C8" s="7" t="n">
        <v>20</v>
      </c>
    </row>
    <row r="9">
      <c r="B9" s="3" t="inlineStr">
        <is>
          <t>Notice days short</t>
        </is>
      </c>
      <c r="C9" s="8">
        <f>MAX(0,C7-C8)</f>
        <v/>
      </c>
    </row>
    <row r="10">
      <c r="B10" s="4" t="inlineStr">
        <is>
          <t>Notice pay in lieu (₹)</t>
        </is>
      </c>
      <c r="C10" s="9">
        <f>C6/30*C9</f>
        <v/>
      </c>
    </row>
    <row r="12">
      <c r="B12" s="5" t="inlineStr">
        <is>
          <t>RETRENCHMENT COMPENSATION (IR Code)</t>
        </is>
      </c>
    </row>
    <row r="13">
      <c r="B13" s="3" t="inlineStr">
        <is>
          <t>Average monthly pay (₹)</t>
        </is>
      </c>
      <c r="C13" s="6" t="n">
        <v>60000</v>
      </c>
    </row>
    <row r="14">
      <c r="B14" s="3" t="inlineStr">
        <is>
          <t>Completed years of continuous service</t>
        </is>
      </c>
      <c r="C14" s="7" t="n">
        <v>7</v>
      </c>
    </row>
    <row r="15">
      <c r="B15" s="3" t="inlineStr">
        <is>
          <t>15 days' pay per year (₹)</t>
        </is>
      </c>
      <c r="C15" s="9">
        <f>C13/30*15*C14</f>
        <v/>
      </c>
    </row>
    <row r="17">
      <c r="B17" s="5" t="inlineStr">
        <is>
          <t>INDICATIVE EXIT COST</t>
        </is>
      </c>
    </row>
    <row r="18">
      <c r="B18" s="3" t="inlineStr">
        <is>
          <t>Employer notice pay (if employer terminates) (₹)</t>
        </is>
      </c>
      <c r="C18" s="6" t="n">
        <v>120000</v>
      </c>
    </row>
    <row r="19">
      <c r="B19" s="4" t="inlineStr">
        <is>
          <t>Total indicative exit cost (retrench + notice) (₹)</t>
        </is>
      </c>
      <c r="C19" s="9">
        <f>C15+C18</f>
        <v/>
      </c>
    </row>
    <row r="21">
      <c r="B21" s="2" t="inlineStr">
        <is>
          <t>Indicative; retrenchment rules, thresholds and government-permission requirements vary by establishment size and State.</t>
        </is>
      </c>
    </row>
  </sheetData>
  <mergeCells count="2">
    <mergeCell ref="B3:C3"/>
    <mergeCell ref="B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341857-DFA7-4494-A16C-44EFA7DD387B}"/>
</file>

<file path=customXml/itemProps2.xml><?xml version="1.0" encoding="utf-8"?>
<ds:datastoreItem xmlns:ds="http://schemas.openxmlformats.org/officeDocument/2006/customXml" ds:itemID="{9CC624E9-5648-4A8F-808C-A4F2B48516B7}"/>
</file>

<file path=customXml/itemProps3.xml><?xml version="1.0" encoding="utf-8"?>
<ds:datastoreItem xmlns:ds="http://schemas.openxmlformats.org/officeDocument/2006/customXml" ds:itemID="{D0F7DE5F-4BE9-4661-8E6F-6804BAAE760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2026-07-21T04:08:06Z</dcterms:created>
  <dcterms:modified xsi:type="dcterms:W3CDTF">2026-07-21T04:08:06Z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