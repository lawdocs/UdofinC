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&amp;F Calculator" sheetId="2" state="visible" r:id="rId2"/>
  </sheets>
  <definedNames>
    <definedName name="Gratuity">'F&amp;F Calculator'!$C$29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10"/>
    </font>
    <font>
      <name val="Arial"/>
      <b val="1"/>
      <color rgb="FF123B4F"/>
      <sz val="10"/>
    </font>
    <font>
      <name val="Arial"/>
      <b val="1"/>
      <color rgb="FFFFFFFF"/>
      <sz val="10"/>
    </font>
    <font>
      <name val="Arial"/>
      <color rgb="FF0000FF"/>
      <sz val="10"/>
    </font>
  </fonts>
  <fills count="4">
    <fill>
      <patternFill/>
    </fill>
    <fill>
      <patternFill patternType="gray125"/>
    </fill>
    <fill>
      <patternFill patternType="solid">
        <fgColor rgb="FF1E7A8C"/>
      </patternFill>
    </fill>
    <fill>
      <patternFill patternType="solid">
        <fgColor rgb="FFFFF6D5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3" fontId="6" fillId="3" borderId="1" pivotButton="0" quotePrefix="0" xfId="0"/>
    <xf numFmtId="3" fontId="3" fillId="0" borderId="1" pivotButton="0" quotePrefix="0" xfId="0"/>
    <xf numFmtId="3" fontId="4" fillId="0" borderId="1" pivotButton="0" quotePrefix="0" xfId="0"/>
    <xf numFmtId="1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Equator Resolution — Full &amp; Final (F&amp;F) Settlement Calculator</t>
        </is>
      </c>
    </row>
    <row r="3">
      <c r="B3" s="2" t="inlineStr">
        <is>
          <t>Computes the net full-and-final payable on separation. Statutory dues are paid, not waived.</t>
        </is>
      </c>
    </row>
    <row r="5">
      <c r="B5" s="3" t="inlineStr"/>
    </row>
    <row r="6">
      <c r="B6" s="4" t="inlineStr">
        <is>
          <t>HOW TO USE</t>
        </is>
      </c>
    </row>
    <row r="7">
      <c r="B7" s="3" t="inlineStr">
        <is>
          <t>- Edit the blue/yellow cells on 'F&amp;F Calculator'. Results update automatically.</t>
        </is>
      </c>
    </row>
    <row r="8">
      <c r="B8" s="3" t="inlineStr">
        <is>
          <t>- Gratuity uses (15 × last wages × years) / 26; confirm eligibility (usually 5+ years).</t>
        </is>
      </c>
    </row>
    <row r="9">
      <c r="B9" s="3" t="inlineStr">
        <is>
          <t>- Notice shortfall is recovered where the employee did not serve full notice.</t>
        </is>
      </c>
    </row>
    <row r="10">
      <c r="B10" s="3" t="inlineStr">
        <is>
          <t>- Confirm exact components, tax/TDS and statutory rules before relying on the figure.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18" customWidth="1" min="3" max="3"/>
  </cols>
  <sheetData>
    <row r="2">
      <c r="B2" s="1" t="inlineStr">
        <is>
          <t>Full &amp; Final Settlement</t>
        </is>
      </c>
    </row>
    <row r="3">
      <c r="B3" s="2" t="inlineStr">
        <is>
          <t>Blue/yellow = inputs; black = calculated.</t>
        </is>
      </c>
    </row>
    <row r="5">
      <c r="B5" s="5" t="inlineStr">
        <is>
          <t>EARNINGS</t>
        </is>
      </c>
    </row>
    <row r="6">
      <c r="B6" s="3" t="inlineStr">
        <is>
          <t>Unpaid salary / days-worked pay (₹)</t>
        </is>
      </c>
      <c r="C6" s="6" t="n">
        <v>60000</v>
      </c>
    </row>
    <row r="7">
      <c r="B7" s="3" t="inlineStr">
        <is>
          <t>Salary arrears / pending increment (₹)</t>
        </is>
      </c>
      <c r="C7" s="6" t="n">
        <v>0</v>
      </c>
    </row>
    <row r="8">
      <c r="B8" s="3" t="inlineStr">
        <is>
          <t>Leave encashment (₹)</t>
        </is>
      </c>
      <c r="C8" s="6" t="n">
        <v>25000</v>
      </c>
    </row>
    <row r="9">
      <c r="B9" s="3" t="inlineStr">
        <is>
          <t>Bonus / incentive due (₹)</t>
        </is>
      </c>
      <c r="C9" s="6" t="n">
        <v>20000</v>
      </c>
    </row>
    <row r="10">
      <c r="B10" s="3" t="inlineStr">
        <is>
          <t>Gratuity (auto — see below) (₹)</t>
        </is>
      </c>
      <c r="C10" s="7">
        <f>Gratuity</f>
        <v/>
      </c>
    </row>
    <row r="11">
      <c r="B11" s="3" t="inlineStr">
        <is>
          <t>Other reimbursements (₹)</t>
        </is>
      </c>
      <c r="C11" s="6" t="n">
        <v>5000</v>
      </c>
    </row>
    <row r="12">
      <c r="B12" s="4" t="inlineStr">
        <is>
          <t>Gross earnings (₹)</t>
        </is>
      </c>
      <c r="C12" s="8">
        <f>SUM(C6:C11)</f>
        <v/>
      </c>
    </row>
    <row r="14">
      <c r="B14" s="5" t="inlineStr">
        <is>
          <t>DEDUCTIONS</t>
        </is>
      </c>
    </row>
    <row r="15">
      <c r="B15" s="3" t="inlineStr">
        <is>
          <t>Notice-period shortfall recovery (₹)</t>
        </is>
      </c>
      <c r="C15" s="6" t="n">
        <v>0</v>
      </c>
    </row>
    <row r="16">
      <c r="B16" s="3" t="inlineStr">
        <is>
          <t>Advances / loans outstanding (₹)</t>
        </is>
      </c>
      <c r="C16" s="6" t="n">
        <v>0</v>
      </c>
    </row>
    <row r="17">
      <c r="B17" s="3" t="inlineStr">
        <is>
          <t>Asset non-return recovery (₹)</t>
        </is>
      </c>
      <c r="C17" s="6" t="n">
        <v>0</v>
      </c>
    </row>
    <row r="18">
      <c r="B18" s="3" t="inlineStr">
        <is>
          <t>Statutory (PF/TDS as applicable) (₹)</t>
        </is>
      </c>
      <c r="C18" s="6" t="n">
        <v>8000</v>
      </c>
    </row>
    <row r="19">
      <c r="B19" s="4" t="inlineStr">
        <is>
          <t>Total deductions (₹)</t>
        </is>
      </c>
      <c r="C19" s="8">
        <f>SUM(C15:C18)</f>
        <v/>
      </c>
    </row>
    <row r="21">
      <c r="B21" s="5" t="inlineStr">
        <is>
          <t>NET</t>
        </is>
      </c>
    </row>
    <row r="22">
      <c r="B22" s="4" t="inlineStr">
        <is>
          <t>Net F&amp;F payable (₹)</t>
        </is>
      </c>
      <c r="C22" s="8">
        <f>C12-C19</f>
        <v/>
      </c>
    </row>
    <row r="24">
      <c r="B24" s="4" t="inlineStr">
        <is>
          <t>— Gratuity inputs —</t>
        </is>
      </c>
    </row>
    <row r="25">
      <c r="B25" s="3" t="inlineStr">
        <is>
          <t>Last drawn monthly wages (basic+DA) (₹)</t>
        </is>
      </c>
      <c r="C25" s="6" t="n">
        <v>40000</v>
      </c>
    </row>
    <row r="26">
      <c r="B26" s="3" t="inlineStr">
        <is>
          <t>Completed years of service</t>
        </is>
      </c>
      <c r="C26" s="9" t="n">
        <v>6</v>
      </c>
    </row>
    <row r="27">
      <c r="B27" s="3" t="inlineStr">
        <is>
          <t>Eligible for gratuity? (1=yes,0=no)</t>
        </is>
      </c>
      <c r="C27" s="9" t="n">
        <v>1</v>
      </c>
    </row>
    <row r="28">
      <c r="B28" s="2" t="inlineStr">
        <is>
          <t>Gratuity = (15 × wages × years) / 26, if eligible</t>
        </is>
      </c>
    </row>
    <row r="29">
      <c r="B29" s="3" t="inlineStr">
        <is>
          <t>Gratuity amount (₹)</t>
        </is>
      </c>
      <c r="C29" s="7">
        <f>IF(C27=1,15*C25*C26/26,0)</f>
        <v/>
      </c>
    </row>
    <row r="31">
      <c r="B31" s="2" t="inlineStr">
        <is>
          <t>Indicative; confirm components, tax and statutory eligibility. Statutory dues cannot be waived.</t>
        </is>
      </c>
    </row>
  </sheetData>
  <mergeCells count="2">
    <mergeCell ref="B3:C3"/>
    <mergeCell ref="B2:C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670EFB-7B10-45C7-AF4E-F7B079798DA6}"/>
</file>

<file path=customXml/itemProps2.xml><?xml version="1.0" encoding="utf-8"?>
<ds:datastoreItem xmlns:ds="http://schemas.openxmlformats.org/officeDocument/2006/customXml" ds:itemID="{DA9AEB84-5740-4BE9-83A2-A6CBAE56CB7D}"/>
</file>

<file path=customXml/itemProps3.xml><?xml version="1.0" encoding="utf-8"?>
<ds:datastoreItem xmlns:ds="http://schemas.openxmlformats.org/officeDocument/2006/customXml" ds:itemID="{2ACB9150-4CA6-45E6-9D71-0AEE69F85E2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2026-07-21T04:08:06Z</dcterms:created>
  <dcterms:modified xsi:type="dcterms:W3CDTF">2026-07-21T04:08:06Z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