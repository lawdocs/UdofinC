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atu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6" fillId="3" borderId="1" pivotButton="0" quotePrefix="0" xfId="0"/>
    <xf numFmtId="1" fontId="6" fillId="3" borderId="1" pivotButton="0" quotePrefix="0" xfId="0"/>
    <xf numFmtId="1" fontId="3" fillId="0" borderId="1" pivotButton="0" quotePrefix="0" xfId="0"/>
    <xf numFmtId="3" fontId="3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Gratuity Calculator</t>
        </is>
      </c>
    </row>
    <row r="3">
      <c r="B3" s="2" t="inlineStr">
        <is>
          <t>Gratuity under the Code on Social Security, 2020 (formerly Payment of Gratuity Act).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the blue/yellow cells on 'Gratuity'. Results update automatically.</t>
        </is>
      </c>
    </row>
    <row r="8">
      <c r="B8" s="3" t="inlineStr">
        <is>
          <t>- Formula: (15 × last drawn wages × completed years) / 26.</t>
        </is>
      </c>
    </row>
    <row r="9">
      <c r="B9" s="3" t="inlineStr">
        <is>
          <t>- Usually payable after 5 years continuous service (death/disablement excepted).</t>
        </is>
      </c>
    </row>
    <row r="10">
      <c r="B10" s="3" t="inlineStr">
        <is>
          <t>- 'Wages' broadly means basic + DA; confirm under the Code on Wages definition. A statutory cap may apply.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>
      <c r="B2" s="1" t="inlineStr">
        <is>
          <t>Gratuity Calculator</t>
        </is>
      </c>
    </row>
    <row r="3">
      <c r="B3" s="2" t="inlineStr">
        <is>
          <t>Blue/yellow = inputs; black = calculated.</t>
        </is>
      </c>
    </row>
    <row r="5">
      <c r="B5" s="5" t="inlineStr">
        <is>
          <t>INPUTS</t>
        </is>
      </c>
    </row>
    <row r="6">
      <c r="B6" s="3" t="inlineStr">
        <is>
          <t>Last drawn monthly wages (basic + DA) (₹)</t>
        </is>
      </c>
      <c r="C6" s="6" t="n">
        <v>45000</v>
      </c>
    </row>
    <row r="7">
      <c r="B7" s="3" t="inlineStr">
        <is>
          <t>Completed years of service</t>
        </is>
      </c>
      <c r="C7" s="7" t="n">
        <v>8</v>
      </c>
    </row>
    <row r="8">
      <c r="B8" s="3" t="inlineStr">
        <is>
          <t>Reason (1=normal ≥5 yrs, 2=death/disablement)</t>
        </is>
      </c>
      <c r="C8" s="7" t="n">
        <v>1</v>
      </c>
    </row>
    <row r="9">
      <c r="B9" s="3" t="inlineStr">
        <is>
          <t>Statutory cap (₹, if any)</t>
        </is>
      </c>
      <c r="C9" s="6" t="n">
        <v>2000000</v>
      </c>
    </row>
    <row r="11">
      <c r="B11" s="5" t="inlineStr">
        <is>
          <t>RESULT</t>
        </is>
      </c>
    </row>
    <row r="12">
      <c r="B12" s="3" t="inlineStr">
        <is>
          <t>Eligible? (normal needs ≥5 yrs)</t>
        </is>
      </c>
      <c r="C12" s="8">
        <f>IF(OR(C8=2,C7&gt;=5),"Yes","No")</f>
        <v/>
      </c>
    </row>
    <row r="13">
      <c r="B13" s="3" t="inlineStr">
        <is>
          <t>Gratuity (before cap) (₹)</t>
        </is>
      </c>
      <c r="C13" s="9">
        <f>IF(OR(C8=2,C7&gt;=5),15*C6*C7/26,0)</f>
        <v/>
      </c>
    </row>
    <row r="14">
      <c r="B14" s="4" t="inlineStr">
        <is>
          <t>Gratuity payable (capped) (₹)</t>
        </is>
      </c>
      <c r="C14" s="10">
        <f>MIN(C13,C9)</f>
        <v/>
      </c>
    </row>
    <row r="16">
      <c r="B16" s="2" t="inlineStr">
        <is>
          <t>Indicative; confirm the wage definition, eligibility and the current statutory cap.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F50043-A788-45BB-83DE-D675858B022F}"/>
</file>

<file path=customXml/itemProps2.xml><?xml version="1.0" encoding="utf-8"?>
<ds:datastoreItem xmlns:ds="http://schemas.openxmlformats.org/officeDocument/2006/customXml" ds:itemID="{EFE9AB7A-3DA1-4DAE-9BB7-588A5CAFAECF}"/>
</file>

<file path=customXml/itemProps3.xml><?xml version="1.0" encoding="utf-8"?>
<ds:datastoreItem xmlns:ds="http://schemas.openxmlformats.org/officeDocument/2006/customXml" ds:itemID="{89C9B99D-5F9B-47EA-8340-26601F1A4F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2026-07-21T04:08:06Z</dcterms:created>
  <dcterms:modified xsi:type="dcterms:W3CDTF">2026-07-21T04:08:06Z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