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&amp;L (12-mo ram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1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rgb="FF556168"/>
      <sz val="8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3" fontId="7" fillId="3" borderId="1" pivotButton="0" quotePrefix="0" xfId="0"/>
    <xf numFmtId="3" fontId="4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2" fontId="3" fillId="0" borderId="1" pivotButton="0" quotePrefix="0" xfId="0"/>
    <xf numFmtId="3" fontId="8" fillId="0" borderId="1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2" customWidth="1" min="2" max="2"/>
  </cols>
  <sheetData>
    <row r="2">
      <c r="B2" s="1" t="inlineStr">
        <is>
          <t>Equator Resolution — Workplace &amp; HR Unit-Economics Model</t>
        </is>
      </c>
    </row>
    <row r="3">
      <c r="B3" s="2" t="inlineStr">
        <is>
          <t>Two revenue engines: per-matter mediation, and recurring employer POSH subscriptions.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blue/yellow inputs on 'Assumptions'; the other sheets recompute.</t>
        </is>
      </c>
    </row>
    <row r="8">
      <c r="B8" s="3" t="inlineStr">
        <is>
          <t>- The POSH subscription is the distinctive feature: it is recurring, compliance-driven and largely volume-independent.</t>
        </is>
      </c>
    </row>
    <row r="9">
      <c r="B9" s="3" t="inlineStr">
        <is>
          <t>- Illustrative; validate pricing and cost against real data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Assumptions (edit blue/yellow)</t>
        </is>
      </c>
    </row>
    <row r="4">
      <c r="B4" s="5" t="inlineStr">
        <is>
          <t>A. Mediation — per matter (₹)</t>
        </is>
      </c>
    </row>
    <row r="5">
      <c r="B5" s="6" t="inlineStr">
        <is>
          <t>Item</t>
        </is>
      </c>
      <c r="C5" s="6" t="inlineStr">
        <is>
          <t>F&amp;F / wages</t>
        </is>
      </c>
      <c r="D5" s="6" t="inlineStr">
        <is>
          <t>Separation</t>
        </is>
      </c>
      <c r="E5" s="6" t="inlineStr">
        <is>
          <t>Grievance</t>
        </is>
      </c>
    </row>
    <row r="6">
      <c r="B6" s="3" t="inlineStr">
        <is>
          <t>Registration + administration</t>
        </is>
      </c>
      <c r="C6" s="7" t="n">
        <v>3000</v>
      </c>
      <c r="D6" s="7" t="n">
        <v>6000</v>
      </c>
      <c r="E6" s="7" t="n">
        <v>2500</v>
      </c>
    </row>
    <row r="7">
      <c r="B7" s="3" t="inlineStr">
        <is>
          <t>Neutral fee (net to Equator share)</t>
        </is>
      </c>
      <c r="C7" s="7" t="n">
        <v>3000</v>
      </c>
      <c r="D7" s="7" t="n">
        <v>6000</v>
      </c>
      <c r="E7" s="7" t="n">
        <v>2500</v>
      </c>
    </row>
    <row r="8">
      <c r="B8" s="3" t="inlineStr">
        <is>
          <t>Escrow handling</t>
        </is>
      </c>
      <c r="C8" s="7" t="n">
        <v>600</v>
      </c>
      <c r="D8" s="7" t="n">
        <v>900</v>
      </c>
      <c r="E8" s="7" t="n">
        <v>0</v>
      </c>
    </row>
    <row r="9">
      <c r="B9" s="3" t="inlineStr">
        <is>
          <t>Direct neutral cost</t>
        </is>
      </c>
      <c r="C9" s="7" t="n">
        <v>-3600</v>
      </c>
      <c r="D9" s="7" t="n">
        <v>-7200</v>
      </c>
      <c r="E9" s="7" t="n">
        <v>-3000</v>
      </c>
    </row>
    <row r="10">
      <c r="B10" s="3" t="inlineStr">
        <is>
          <t>Direct servicing cost</t>
        </is>
      </c>
      <c r="C10" s="7" t="n">
        <v>-900</v>
      </c>
      <c r="D10" s="7" t="n">
        <v>-1200</v>
      </c>
      <c r="E10" s="7" t="n">
        <v>-700</v>
      </c>
    </row>
    <row r="12">
      <c r="B12" s="5" t="inlineStr">
        <is>
          <t>B. Monthly matter volume (steady state)</t>
        </is>
      </c>
    </row>
    <row r="13">
      <c r="B13" s="6" t="inlineStr">
        <is>
          <t>Item</t>
        </is>
      </c>
      <c r="C13" s="6" t="inlineStr">
        <is>
          <t>F&amp;F / wages</t>
        </is>
      </c>
      <c r="D13" s="6" t="inlineStr">
        <is>
          <t>Separation</t>
        </is>
      </c>
      <c r="E13" s="6" t="inlineStr">
        <is>
          <t>Grievance</t>
        </is>
      </c>
    </row>
    <row r="14">
      <c r="B14" s="3" t="inlineStr">
        <is>
          <t>Matters per month</t>
        </is>
      </c>
      <c r="C14" s="7" t="n">
        <v>120</v>
      </c>
      <c r="D14" s="7" t="n">
        <v>45</v>
      </c>
      <c r="E14" s="7" t="n">
        <v>60</v>
      </c>
    </row>
    <row r="16">
      <c r="B16" s="5" t="inlineStr">
        <is>
          <t>C. POSH subscriptions (employers)</t>
        </is>
      </c>
    </row>
    <row r="17">
      <c r="B17" s="3" t="inlineStr">
        <is>
          <t>Employers subscribed (steady state)</t>
        </is>
      </c>
      <c r="C17" s="7" t="n">
        <v>300</v>
      </c>
    </row>
    <row r="18">
      <c r="B18" s="3" t="inlineStr">
        <is>
          <t>Annual retainer per employer (₹)</t>
        </is>
      </c>
      <c r="C18" s="7" t="n">
        <v>60000</v>
      </c>
    </row>
    <row r="19">
      <c r="B19" s="3" t="inlineStr">
        <is>
          <t>Training / awareness revenue per employer per year (₹)</t>
        </is>
      </c>
      <c r="C19" s="7" t="n">
        <v>35000</v>
      </c>
    </row>
    <row r="20">
      <c r="B20" s="3" t="inlineStr">
        <is>
          <t>Direct cost per employer per year (external member + delivery) (₹)</t>
        </is>
      </c>
      <c r="C20" s="7" t="n">
        <v>-45000</v>
      </c>
    </row>
    <row r="22">
      <c r="B22" s="5" t="inlineStr">
        <is>
          <t>D. Fixed monthly costs (₹)</t>
        </is>
      </c>
    </row>
    <row r="23">
      <c r="B23" s="3" t="inlineStr">
        <is>
          <t>Platform &amp; technology</t>
        </is>
      </c>
      <c r="C23" s="7" t="n">
        <v>200000</v>
      </c>
    </row>
    <row r="24">
      <c r="B24" s="3" t="inlineStr">
        <is>
          <t>Core team &amp; panel management</t>
        </is>
      </c>
      <c r="C24" s="7" t="n">
        <v>700000</v>
      </c>
    </row>
    <row r="25">
      <c r="B25" s="3" t="inlineStr">
        <is>
          <t>Compliance, legal &amp; audit</t>
        </is>
      </c>
      <c r="C25" s="7" t="n">
        <v>150000</v>
      </c>
    </row>
    <row r="26">
      <c r="B26" s="3" t="inlineStr">
        <is>
          <t>Sales / employer BD</t>
        </is>
      </c>
      <c r="C26" s="7" t="n">
        <v>350000</v>
      </c>
    </row>
    <row r="27">
      <c r="B27" s="3" t="inlineStr">
        <is>
          <t>G&amp;A</t>
        </is>
      </c>
      <c r="C27" s="7" t="n">
        <v>200000</v>
      </c>
    </row>
    <row r="29">
      <c r="B29" s="4" t="inlineStr">
        <is>
          <t>Total fixed monthly cost</t>
        </is>
      </c>
      <c r="C29" s="8">
        <f>SUM(C23:C27)</f>
        <v/>
      </c>
    </row>
    <row r="31">
      <c r="B31" s="3" t="inlineStr">
        <is>
          <t>Ramp: months to steady state</t>
        </is>
      </c>
      <c r="C31" s="7" t="n">
        <v>12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Unit Economics</t>
        </is>
      </c>
    </row>
    <row r="4">
      <c r="B4" s="6" t="inlineStr">
        <is>
          <t>Item</t>
        </is>
      </c>
      <c r="C4" s="6" t="inlineStr">
        <is>
          <t>F&amp;F / wages</t>
        </is>
      </c>
      <c r="D4" s="6" t="inlineStr">
        <is>
          <t>Separation</t>
        </is>
      </c>
      <c r="E4" s="6" t="inlineStr">
        <is>
          <t>Grievance</t>
        </is>
      </c>
    </row>
    <row r="5">
      <c r="B5" s="3" t="inlineStr">
        <is>
          <t>Gross revenue</t>
        </is>
      </c>
      <c r="C5" s="9">
        <f>Assumptions!C6+Assumptions!C7+Assumptions!C8</f>
        <v/>
      </c>
      <c r="D5" s="9">
        <f>Assumptions!D6+Assumptions!D7+Assumptions!D8</f>
        <v/>
      </c>
      <c r="E5" s="9">
        <f>Assumptions!E6+Assumptions!E7+Assumptions!E8</f>
        <v/>
      </c>
    </row>
    <row r="6">
      <c r="B6" s="3" t="inlineStr">
        <is>
          <t>Direct cost</t>
        </is>
      </c>
      <c r="C6" s="9">
        <f>Assumptions!C9+Assumptions!C10</f>
        <v/>
      </c>
      <c r="D6" s="9">
        <f>Assumptions!D9+Assumptions!D10</f>
        <v/>
      </c>
      <c r="E6" s="9">
        <f>Assumptions!E9+Assumptions!E10</f>
        <v/>
      </c>
    </row>
    <row r="7">
      <c r="B7" s="4" t="inlineStr">
        <is>
          <t>Contribution / matter</t>
        </is>
      </c>
      <c r="C7" s="8">
        <f>C5+C6</f>
        <v/>
      </c>
      <c r="D7" s="8">
        <f>D5+D6</f>
        <v/>
      </c>
      <c r="E7" s="8">
        <f>E5+E6</f>
        <v/>
      </c>
    </row>
    <row r="8">
      <c r="B8" s="3" t="inlineStr">
        <is>
          <t>Contribution margin</t>
        </is>
      </c>
      <c r="C8" s="10">
        <f>IFERROR(C7/C5,0)</f>
        <v/>
      </c>
      <c r="D8" s="10">
        <f>IFERROR(D7/D5,0)</f>
        <v/>
      </c>
      <c r="E8" s="10">
        <f>IFERROR(E7/E5,0)</f>
        <v/>
      </c>
    </row>
    <row r="10">
      <c r="B10" s="3" t="inlineStr">
        <is>
          <t>Monthly matters</t>
        </is>
      </c>
      <c r="C10" s="9">
        <f>Assumptions!C14</f>
        <v/>
      </c>
      <c r="D10" s="9">
        <f>Assumptions!D14</f>
        <v/>
      </c>
      <c r="E10" s="9">
        <f>Assumptions!E14</f>
        <v/>
      </c>
    </row>
    <row r="11">
      <c r="B11" s="4" t="inlineStr">
        <is>
          <t>Monthly contribution</t>
        </is>
      </c>
      <c r="C11" s="8">
        <f>C7*C10</f>
        <v/>
      </c>
      <c r="D11" s="8">
        <f>D7*D10</f>
        <v/>
      </c>
      <c r="E11" s="8">
        <f>E7*E10</f>
        <v/>
      </c>
    </row>
    <row r="13">
      <c r="B13" s="4" t="inlineStr">
        <is>
          <t>Mediation monthly contribution</t>
        </is>
      </c>
      <c r="C13" s="8">
        <f>C11+D11+E11</f>
        <v/>
      </c>
    </row>
    <row r="15">
      <c r="B15" s="4" t="inlineStr">
        <is>
          <t>POSH — annual contribution per employer</t>
        </is>
      </c>
      <c r="C15" s="8">
        <f>Assumptions!C18+Assumptions!C19+Assumptions!C20</f>
        <v/>
      </c>
    </row>
    <row r="16">
      <c r="B16" s="4" t="inlineStr">
        <is>
          <t>POSH — monthly contribution (all employers)</t>
        </is>
      </c>
      <c r="C16" s="8">
        <f>(Assumptions!C18+Assumptions!C19+Assumptions!C20)*Assumptions!C17/12</f>
        <v/>
      </c>
    </row>
    <row r="18">
      <c r="B18" s="4" t="inlineStr">
        <is>
          <t>TOTAL monthly contribution</t>
        </is>
      </c>
      <c r="C18" s="8">
        <f>C13+C16</f>
        <v/>
      </c>
    </row>
    <row r="19">
      <c r="B19" s="3" t="inlineStr">
        <is>
          <t>Share from recurring POSH subscriptions</t>
        </is>
      </c>
      <c r="C19" s="11">
        <f>IFERROR(C16/C18,0)</f>
        <v/>
      </c>
    </row>
    <row r="21">
      <c r="B21" s="2" t="inlineStr">
        <is>
          <t>The POSH subscription line is recurring and compliance-driven — it does not depend on dispute volume.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" t="inlineStr">
        <is>
          <t>Monthly P&amp;L — linear ramp</t>
        </is>
      </c>
    </row>
    <row r="4">
      <c r="B4" s="6" t="inlineStr">
        <is>
          <t>Month</t>
        </is>
      </c>
      <c r="C4" s="6" t="inlineStr">
        <is>
          <t>M1</t>
        </is>
      </c>
      <c r="D4" s="6" t="inlineStr">
        <is>
          <t>M2</t>
        </is>
      </c>
      <c r="E4" s="6" t="inlineStr">
        <is>
          <t>M3</t>
        </is>
      </c>
      <c r="F4" s="6" t="inlineStr">
        <is>
          <t>M4</t>
        </is>
      </c>
      <c r="G4" s="6" t="inlineStr">
        <is>
          <t>M5</t>
        </is>
      </c>
      <c r="H4" s="6" t="inlineStr">
        <is>
          <t>M6</t>
        </is>
      </c>
      <c r="I4" s="6" t="inlineStr">
        <is>
          <t>M7</t>
        </is>
      </c>
      <c r="J4" s="6" t="inlineStr">
        <is>
          <t>M8</t>
        </is>
      </c>
      <c r="K4" s="6" t="inlineStr">
        <is>
          <t>M9</t>
        </is>
      </c>
      <c r="L4" s="6" t="inlineStr">
        <is>
          <t>M10</t>
        </is>
      </c>
      <c r="M4" s="6" t="inlineStr">
        <is>
          <t>M11</t>
        </is>
      </c>
      <c r="N4" s="6" t="inlineStr">
        <is>
          <t>M12</t>
        </is>
      </c>
    </row>
    <row r="5">
      <c r="B5" s="3" t="inlineStr">
        <is>
          <t>Ramp factor</t>
        </is>
      </c>
      <c r="C5" s="12">
        <f>MIN(1,1/Assumptions!$C$31)</f>
        <v/>
      </c>
      <c r="D5" s="12">
        <f>MIN(1,2/Assumptions!$C$31)</f>
        <v/>
      </c>
      <c r="E5" s="12">
        <f>MIN(1,3/Assumptions!$C$31)</f>
        <v/>
      </c>
      <c r="F5" s="12">
        <f>MIN(1,4/Assumptions!$C$31)</f>
        <v/>
      </c>
      <c r="G5" s="12">
        <f>MIN(1,5/Assumptions!$C$31)</f>
        <v/>
      </c>
      <c r="H5" s="12">
        <f>MIN(1,6/Assumptions!$C$31)</f>
        <v/>
      </c>
      <c r="I5" s="12">
        <f>MIN(1,7/Assumptions!$C$31)</f>
        <v/>
      </c>
      <c r="J5" s="12">
        <f>MIN(1,8/Assumptions!$C$31)</f>
        <v/>
      </c>
      <c r="K5" s="12">
        <f>MIN(1,9/Assumptions!$C$31)</f>
        <v/>
      </c>
      <c r="L5" s="12">
        <f>MIN(1,10/Assumptions!$C$31)</f>
        <v/>
      </c>
      <c r="M5" s="12">
        <f>MIN(1,11/Assumptions!$C$31)</f>
        <v/>
      </c>
      <c r="N5" s="12">
        <f>MIN(1,12/Assumptions!$C$31)</f>
        <v/>
      </c>
    </row>
    <row r="6">
      <c r="B6" s="3" t="inlineStr">
        <is>
          <t>Contribution (₹)</t>
        </is>
      </c>
      <c r="C6" s="9">
        <f>'Unit Economics'!$C$18*C5</f>
        <v/>
      </c>
      <c r="D6" s="9">
        <f>'Unit Economics'!$C$18*D5</f>
        <v/>
      </c>
      <c r="E6" s="9">
        <f>'Unit Economics'!$C$18*E5</f>
        <v/>
      </c>
      <c r="F6" s="9">
        <f>'Unit Economics'!$C$18*F5</f>
        <v/>
      </c>
      <c r="G6" s="9">
        <f>'Unit Economics'!$C$18*G5</f>
        <v/>
      </c>
      <c r="H6" s="9">
        <f>'Unit Economics'!$C$18*H5</f>
        <v/>
      </c>
      <c r="I6" s="9">
        <f>'Unit Economics'!$C$18*I5</f>
        <v/>
      </c>
      <c r="J6" s="9">
        <f>'Unit Economics'!$C$18*J5</f>
        <v/>
      </c>
      <c r="K6" s="9">
        <f>'Unit Economics'!$C$18*K5</f>
        <v/>
      </c>
      <c r="L6" s="9">
        <f>'Unit Economics'!$C$18*L5</f>
        <v/>
      </c>
      <c r="M6" s="9">
        <f>'Unit Economics'!$C$18*M5</f>
        <v/>
      </c>
      <c r="N6" s="9">
        <f>'Unit Economics'!$C$18*N5</f>
        <v/>
      </c>
    </row>
    <row r="7">
      <c r="B7" s="3" t="inlineStr">
        <is>
          <t>Fixed cost (₹)</t>
        </is>
      </c>
      <c r="C7" s="9">
        <f>Assumptions!$C$29</f>
        <v/>
      </c>
      <c r="D7" s="9">
        <f>Assumptions!$C$29</f>
        <v/>
      </c>
      <c r="E7" s="9">
        <f>Assumptions!$C$29</f>
        <v/>
      </c>
      <c r="F7" s="9">
        <f>Assumptions!$C$29</f>
        <v/>
      </c>
      <c r="G7" s="9">
        <f>Assumptions!$C$29</f>
        <v/>
      </c>
      <c r="H7" s="9">
        <f>Assumptions!$C$29</f>
        <v/>
      </c>
      <c r="I7" s="9">
        <f>Assumptions!$C$29</f>
        <v/>
      </c>
      <c r="J7" s="9">
        <f>Assumptions!$C$29</f>
        <v/>
      </c>
      <c r="K7" s="9">
        <f>Assumptions!$C$29</f>
        <v/>
      </c>
      <c r="L7" s="9">
        <f>Assumptions!$C$29</f>
        <v/>
      </c>
      <c r="M7" s="9">
        <f>Assumptions!$C$29</f>
        <v/>
      </c>
      <c r="N7" s="9">
        <f>Assumptions!$C$29</f>
        <v/>
      </c>
    </row>
    <row r="8">
      <c r="B8" s="4" t="inlineStr">
        <is>
          <t>EBITDA (₹)</t>
        </is>
      </c>
      <c r="C8" s="8">
        <f>C6-C7</f>
        <v/>
      </c>
      <c r="D8" s="8">
        <f>D6-D7</f>
        <v/>
      </c>
      <c r="E8" s="8">
        <f>E6-E7</f>
        <v/>
      </c>
      <c r="F8" s="8">
        <f>F6-F7</f>
        <v/>
      </c>
      <c r="G8" s="8">
        <f>G6-G7</f>
        <v/>
      </c>
      <c r="H8" s="8">
        <f>H6-H7</f>
        <v/>
      </c>
      <c r="I8" s="8">
        <f>I6-I7</f>
        <v/>
      </c>
      <c r="J8" s="8">
        <f>J6-J7</f>
        <v/>
      </c>
      <c r="K8" s="8">
        <f>K6-K7</f>
        <v/>
      </c>
      <c r="L8" s="8">
        <f>L6-L7</f>
        <v/>
      </c>
      <c r="M8" s="8">
        <f>M6-M7</f>
        <v/>
      </c>
      <c r="N8" s="8">
        <f>N6-N7</f>
        <v/>
      </c>
    </row>
    <row r="9">
      <c r="B9" s="3" t="inlineStr">
        <is>
          <t>(helper: positive month)</t>
        </is>
      </c>
      <c r="C9" s="13">
        <f>IF(C8&gt;0,1,9999)</f>
        <v/>
      </c>
      <c r="D9" s="13">
        <f>IF(D8&gt;0,2,9999)</f>
        <v/>
      </c>
      <c r="E9" s="13">
        <f>IF(E8&gt;0,3,9999)</f>
        <v/>
      </c>
      <c r="F9" s="13">
        <f>IF(F8&gt;0,4,9999)</f>
        <v/>
      </c>
      <c r="G9" s="13">
        <f>IF(G8&gt;0,5,9999)</f>
        <v/>
      </c>
      <c r="H9" s="13">
        <f>IF(H8&gt;0,6,9999)</f>
        <v/>
      </c>
      <c r="I9" s="13">
        <f>IF(I8&gt;0,7,9999)</f>
        <v/>
      </c>
      <c r="J9" s="13">
        <f>IF(J8&gt;0,8,9999)</f>
        <v/>
      </c>
      <c r="K9" s="13">
        <f>IF(K8&gt;0,9,9999)</f>
        <v/>
      </c>
      <c r="L9" s="13">
        <f>IF(L8&gt;0,10,9999)</f>
        <v/>
      </c>
      <c r="M9" s="13">
        <f>IF(M8&gt;0,11,9999)</f>
        <v/>
      </c>
      <c r="N9" s="13">
        <f>IF(N8&gt;0,12,9999)</f>
        <v/>
      </c>
    </row>
    <row r="11">
      <c r="B11" s="4" t="inlineStr">
        <is>
          <t>Break-even month</t>
        </is>
      </c>
      <c r="G11" s="4">
        <f>IF(MIN(C9:N9)&gt;12,"beyond M12",MIN(C9:N9))</f>
        <v/>
      </c>
    </row>
    <row r="12">
      <c r="B12" s="4" t="inlineStr">
        <is>
          <t>Steady-state monthly EBITDA (₹)</t>
        </is>
      </c>
      <c r="G12" s="14">
        <f>'Unit Economics'!C18-Assumptions!C29</f>
        <v/>
      </c>
    </row>
    <row r="13">
      <c r="B13" s="4" t="inlineStr">
        <is>
          <t>Steady-state annual EBITDA (₹)</t>
        </is>
      </c>
      <c r="G13" s="14">
        <f>('Unit Economics'!C18-Assumptions!C29)*12</f>
        <v/>
      </c>
    </row>
  </sheetData>
  <mergeCells count="1">
    <mergeCell ref="B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1CB78F-B41E-499D-9663-0240F5EC0CC9}"/>
</file>

<file path=customXml/itemProps2.xml><?xml version="1.0" encoding="utf-8"?>
<ds:datastoreItem xmlns:ds="http://schemas.openxmlformats.org/officeDocument/2006/customXml" ds:itemID="{17E44B42-9E82-4CAE-ACEA-A58BD99F3E5A}"/>
</file>

<file path=customXml/itemProps3.xml><?xml version="1.0" encoding="utf-8"?>
<ds:datastoreItem xmlns:ds="http://schemas.openxmlformats.org/officeDocument/2006/customXml" ds:itemID="{AE4915B8-FF65-4EDD-9FBF-E643413B33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2026-07-21T12:12:50Z</dcterms:created>
  <dcterms:modified xsi:type="dcterms:W3CDTF">2026-07-21T12:12:50Z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