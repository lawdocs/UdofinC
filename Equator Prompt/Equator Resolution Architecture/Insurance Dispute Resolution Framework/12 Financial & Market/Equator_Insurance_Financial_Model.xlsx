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Build-Up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123B4F"/>
      <sz val="12"/>
    </font>
    <font>
      <name val="Arial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FFF6D5"/>
      </patternFill>
    </fill>
    <fill>
      <patternFill patternType="solid">
        <fgColor rgb="FF123B4F"/>
      </patternFill>
    </fill>
    <fill>
      <patternFill patternType="solid">
        <fgColor rgb="FFF3E9D2"/>
      </patternFill>
    </fill>
    <fill>
      <patternFill patternType="solid">
        <fgColor rgb="FFD8ECE2"/>
      </patternFill>
    </fill>
    <fill>
      <patternFill patternType="solid">
        <fgColor rgb="FFF4DCE0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4" fillId="2" borderId="1" pivotButton="0" quotePrefix="0" xfId="0"/>
    <xf numFmtId="0" fontId="2" fillId="0" borderId="0" applyAlignment="1" pivotButton="0" quotePrefix="0" xfId="0">
      <alignment vertical="top" wrapText="1"/>
    </xf>
    <xf numFmtId="9" fontId="4" fillId="2" borderId="1" pivotButton="0" quotePrefix="0" xfId="0"/>
    <xf numFmtId="0" fontId="6" fillId="3" borderId="1" pivotButton="0" quotePrefix="0" xfId="0"/>
    <xf numFmtId="0" fontId="3" fillId="0" borderId="1" applyAlignment="1" pivotButton="0" quotePrefix="0" xfId="0">
      <alignment vertical="top" wrapText="1"/>
    </xf>
    <xf numFmtId="3" fontId="3" fillId="0" borderId="1" pivotButton="0" quotePrefix="0" xfId="0"/>
    <xf numFmtId="3" fontId="4" fillId="4" borderId="1" pivotButton="0" quotePrefix="0" xfId="0"/>
    <xf numFmtId="0" fontId="6" fillId="3" borderId="1" applyAlignment="1" pivotButton="0" quotePrefix="0" xfId="0">
      <alignment horizontal="center"/>
    </xf>
    <xf numFmtId="164" fontId="3" fillId="0" borderId="1" pivotButton="0" quotePrefix="0" xfId="0"/>
    <xf numFmtId="1" fontId="3" fillId="0" borderId="1" pivotButton="0" quotePrefix="0" xfId="0"/>
    <xf numFmtId="165" fontId="3" fillId="0" borderId="1" pivotButton="0" quotePrefix="0" xfId="0"/>
    <xf numFmtId="0" fontId="5" fillId="5" borderId="1" pivotButton="0" quotePrefix="0" xfId="0"/>
    <xf numFmtId="164" fontId="4" fillId="4" borderId="1" pivotButton="0" quotePrefix="0" xfId="0"/>
    <xf numFmtId="0" fontId="3" fillId="0" borderId="1" pivotButton="0" quotePrefix="0" xfId="0"/>
    <xf numFmtId="0" fontId="4" fillId="0" borderId="1" pivotButton="0" quotePrefix="0" xfId="0"/>
    <xf numFmtId="9" fontId="3" fillId="0" borderId="1" pivotButton="0" quotePrefix="0" xfId="0"/>
    <xf numFmtId="9" fontId="4" fillId="4" borderId="1" pivotButton="0" quotePrefix="0" xfId="0"/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and EBITDA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'Build-Up'!$C$19:$AL$19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'Build-Up'!$C$31:$AL$31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47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Equator Resolution — Insurance Vertical Financial Model</t>
        </is>
      </c>
    </row>
    <row r="3">
      <c r="B3" s="2" t="inlineStr">
        <is>
          <t>Unit economics, a 36-month build-up and three scenarios. Every yellow cell is an assumption you can change.</t>
        </is>
      </c>
    </row>
    <row r="5">
      <c r="B5" s="3" t="inlineStr"/>
    </row>
    <row r="6">
      <c r="B6" s="4" t="inlineStr">
        <is>
          <t>HOW IT WORKS</t>
        </is>
      </c>
    </row>
    <row r="7">
      <c r="B7" s="3" t="inlineStr">
        <is>
          <t>- 'Assumptions' drives everything. Change the yellow cells and every other sheet recalculates.</t>
        </is>
      </c>
    </row>
    <row r="8">
      <c r="B8" s="3" t="inlineStr">
        <is>
          <t>- 'Unit Economics' shows contribution per matter and per insurer, by product.</t>
        </is>
      </c>
    </row>
    <row r="9">
      <c r="B9" s="3" t="inlineStr">
        <is>
          <t>- 'Build-Up' is a 36-month P&amp;L. 'Scenarios' flexes three cases off the same engine.</t>
        </is>
      </c>
    </row>
    <row r="10">
      <c r="B10" s="3" t="inlineStr"/>
    </row>
    <row r="11">
      <c r="B11" s="4" t="inlineStr">
        <is>
          <t>THE HONEST POINT THIS MODEL MAKES</t>
        </is>
      </c>
    </row>
    <row r="12">
      <c r="B12" s="3" t="inlineStr">
        <is>
          <t>Retail is loss-leading by design and does not become profitable at any realistic volume.</t>
        </is>
      </c>
    </row>
    <row r="13">
      <c r="B13" s="3" t="inlineStr">
        <is>
          <t>The vertical works if — and only if — insurer subscriptions and batched settlement days land.</t>
        </is>
      </c>
    </row>
    <row r="14">
      <c r="B14" s="3" t="inlineStr">
        <is>
          <t>If they do not, this vertical is a credibility asset for the platform, not a business.</t>
        </is>
      </c>
    </row>
    <row r="15">
      <c r="B15" s="3" t="inlineStr"/>
    </row>
    <row r="16">
      <c r="B16" s="3" t="inlineStr">
        <is>
          <t>All figures in Indian rupees, exclusive of GST. Illustrative — not a forecast.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8" customWidth="1" min="3" max="3"/>
    <col width="6" customWidth="1" min="4" max="4"/>
    <col width="58" customWidth="1" min="5" max="5"/>
  </cols>
  <sheetData>
    <row r="1">
      <c r="A1" s="1" t="inlineStr">
        <is>
          <t>Assumptions</t>
        </is>
      </c>
    </row>
    <row r="2">
      <c r="A2" s="2" t="inlineStr">
        <is>
          <t>Change the yellow cells only.</t>
        </is>
      </c>
    </row>
    <row r="4">
      <c r="B4" s="5" t="inlineStr">
        <is>
          <t>VOLUME (by month 36)</t>
        </is>
      </c>
    </row>
    <row r="5">
      <c r="B5" s="3" t="inlineStr">
        <is>
          <t>Retail matters per month</t>
        </is>
      </c>
      <c r="C5" s="6" t="n">
        <v>320</v>
      </c>
      <c r="E5" s="7" t="inlineStr">
        <is>
          <t>Self-filed and referred</t>
        </is>
      </c>
    </row>
    <row r="6">
      <c r="B6" s="3" t="inlineStr">
        <is>
          <t>Share of retail matters that are insurer-referred</t>
        </is>
      </c>
      <c r="C6" s="8" t="n">
        <v>0.45</v>
      </c>
      <c r="E6" s="7" t="inlineStr">
        <is>
          <t>Fee borne by the insurer</t>
        </is>
      </c>
    </row>
    <row r="7">
      <c r="B7" s="3" t="inlineStr">
        <is>
          <t>Insurer subscribers</t>
        </is>
      </c>
      <c r="C7" s="6" t="n">
        <v>9</v>
      </c>
      <c r="E7" s="7" t="inlineStr">
        <is>
          <t>Across all tiers</t>
        </is>
      </c>
    </row>
    <row r="8">
      <c r="B8" s="3" t="inlineStr">
        <is>
          <t>Batched settlement days per month</t>
        </is>
      </c>
      <c r="C8" s="6" t="n">
        <v>11</v>
      </c>
      <c r="E8" s="7" t="inlineStr">
        <is>
          <t>Across all subscribers</t>
        </is>
      </c>
    </row>
    <row r="9">
      <c r="B9" s="3" t="inlineStr">
        <is>
          <t>Files settled per batched day</t>
        </is>
      </c>
      <c r="C9" s="6" t="n">
        <v>26</v>
      </c>
      <c r="E9" s="7" t="inlineStr">
        <is>
          <t>Capacity is 30</t>
        </is>
      </c>
    </row>
    <row r="10">
      <c r="B10" s="3" t="inlineStr">
        <is>
          <t>Commercial matters per month</t>
        </is>
      </c>
      <c r="C10" s="6" t="n">
        <v>16</v>
      </c>
      <c r="E10" s="7" t="inlineStr">
        <is>
          <t>Ad valorem</t>
        </is>
      </c>
    </row>
    <row r="12">
      <c r="B12" s="5" t="inlineStr">
        <is>
          <t>PRICE</t>
        </is>
      </c>
    </row>
    <row r="13">
      <c r="B13" s="3" t="inlineStr">
        <is>
          <t>Retail — registration &amp; triage</t>
        </is>
      </c>
      <c r="C13" s="6" t="n">
        <v>1500</v>
      </c>
      <c r="E13" s="7" t="inlineStr">
        <is>
          <t>Waived for insurer-referred and for waiver categories</t>
        </is>
      </c>
    </row>
    <row r="14">
      <c r="B14" s="3" t="inlineStr">
        <is>
          <t>Retail — schedule build</t>
        </is>
      </c>
      <c r="C14" s="6" t="n">
        <v>2500</v>
      </c>
      <c r="E14" s="7" t="inlineStr"/>
    </row>
    <row r="15">
      <c r="B15" s="3" t="inlineStr">
        <is>
          <t>Retail — average mediation fee</t>
        </is>
      </c>
      <c r="C15" s="6" t="n">
        <v>9000</v>
      </c>
      <c r="E15" s="7" t="inlineStr">
        <is>
          <t>Blended across the value bands</t>
        </is>
      </c>
    </row>
    <row r="16">
      <c r="B16" s="3" t="inlineStr">
        <is>
          <t>Retail — settlement drafting &amp; registration</t>
        </is>
      </c>
      <c r="C16" s="6" t="n">
        <v>3500</v>
      </c>
      <c r="E16" s="7" t="inlineStr"/>
    </row>
    <row r="17">
      <c r="B17" s="3" t="inlineStr">
        <is>
          <t>Insurer — average annual subscription</t>
        </is>
      </c>
      <c r="C17" s="6" t="n">
        <v>3400000</v>
      </c>
      <c r="E17" s="7" t="inlineStr">
        <is>
          <t>Blended across tiers</t>
        </is>
      </c>
    </row>
    <row r="18">
      <c r="B18" s="3" t="inlineStr">
        <is>
          <t>Insurer — per-case fee beyond the included volume</t>
        </is>
      </c>
      <c r="C18" s="6" t="n">
        <v>7500</v>
      </c>
      <c r="E18" s="7" t="inlineStr"/>
    </row>
    <row r="19">
      <c r="B19" s="3" t="inlineStr">
        <is>
          <t>Batched day — insurer day rate (neutral + admin)</t>
        </is>
      </c>
      <c r="C19" s="6" t="n">
        <v>95000</v>
      </c>
      <c r="E19" s="7" t="inlineStr"/>
    </row>
    <row r="20">
      <c r="B20" s="3" t="inlineStr">
        <is>
          <t>Batched day — per file settled</t>
        </is>
      </c>
      <c r="C20" s="6" t="n">
        <v>1500</v>
      </c>
      <c r="E20" s="7" t="inlineStr"/>
    </row>
    <row r="21">
      <c r="B21" s="3" t="inlineStr">
        <is>
          <t>Commercial — average administrative fee</t>
        </is>
      </c>
      <c r="C21" s="6" t="n">
        <v>85000</v>
      </c>
      <c r="E21" s="7" t="inlineStr"/>
    </row>
    <row r="23">
      <c r="B23" s="5" t="inlineStr">
        <is>
          <t>EFFECTIVE REALISATION</t>
        </is>
      </c>
    </row>
    <row r="24">
      <c r="B24" s="3" t="inlineStr">
        <is>
          <t>Share of retail matters attracting a full fee waiver</t>
        </is>
      </c>
      <c r="C24" s="8" t="n">
        <v>0.28</v>
      </c>
      <c r="E24" s="7" t="inlineStr">
        <is>
          <t>Small claims, death claims, seniors, schemes</t>
        </is>
      </c>
    </row>
    <row r="25">
      <c r="B25" s="3" t="inlineStr">
        <is>
          <t>Share of retail matters that settle</t>
        </is>
      </c>
      <c r="C25" s="8" t="n">
        <v>0.55</v>
      </c>
      <c r="E25" s="7" t="inlineStr"/>
    </row>
    <row r="26">
      <c r="B26" s="3" t="inlineStr">
        <is>
          <t>Share of retail matters where the other side does not participate</t>
        </is>
      </c>
      <c r="C26" s="8" t="n">
        <v>0.18</v>
      </c>
      <c r="E26" s="7" t="inlineStr">
        <is>
          <t>Mediation fee refunded</t>
        </is>
      </c>
    </row>
    <row r="28">
      <c r="B28" s="5" t="inlineStr">
        <is>
          <t>COST TO SERVE</t>
        </is>
      </c>
    </row>
    <row r="29">
      <c r="B29" s="3" t="inlineStr">
        <is>
          <t>Case-manager cost per retail matter</t>
        </is>
      </c>
      <c r="C29" s="6" t="n">
        <v>2200</v>
      </c>
      <c r="E29" s="7" t="inlineStr">
        <is>
          <t>Loaded, ~2.5 hours</t>
        </is>
      </c>
    </row>
    <row r="30">
      <c r="B30" s="3" t="inlineStr">
        <is>
          <t>Neutral fee per retail mediation</t>
        </is>
      </c>
      <c r="C30" s="6" t="n">
        <v>4500</v>
      </c>
      <c r="E30" s="7" t="inlineStr">
        <is>
          <t>Paid out of the mediation fee</t>
        </is>
      </c>
    </row>
    <row r="31">
      <c r="B31" s="3" t="inlineStr">
        <is>
          <t>Cost per batched day (neutral + venue + admin)</t>
        </is>
      </c>
      <c r="C31" s="6" t="n">
        <v>62000</v>
      </c>
      <c r="E31" s="7" t="inlineStr"/>
    </row>
    <row r="32">
      <c r="B32" s="3" t="inlineStr">
        <is>
          <t>Neutral fee per commercial mediation</t>
        </is>
      </c>
      <c r="C32" s="6" t="n">
        <v>130000</v>
      </c>
      <c r="E32" s="7" t="inlineStr"/>
    </row>
    <row r="33">
      <c r="B33" s="3" t="inlineStr">
        <is>
          <t>Account management cost per insurer per year</t>
        </is>
      </c>
      <c r="C33" s="6" t="n">
        <v>900000</v>
      </c>
      <c r="E33" s="7" t="inlineStr"/>
    </row>
    <row r="35">
      <c r="B35" s="5" t="inlineStr">
        <is>
          <t>FIXED COSTS (monthly, at scale)</t>
        </is>
      </c>
    </row>
    <row r="36">
      <c r="B36" s="3" t="inlineStr">
        <is>
          <t>Leadership &amp; legal</t>
        </is>
      </c>
      <c r="C36" s="6" t="n">
        <v>800000</v>
      </c>
      <c r="E36" s="7" t="inlineStr"/>
    </row>
    <row r="37">
      <c r="B37" s="3" t="inlineStr">
        <is>
          <t>Case management team</t>
        </is>
      </c>
      <c r="C37" s="6" t="n">
        <v>1150000</v>
      </c>
      <c r="E37" s="7" t="inlineStr"/>
    </row>
    <row r="38">
      <c r="B38" s="3" t="inlineStr">
        <is>
          <t>Panel management &amp; training</t>
        </is>
      </c>
      <c r="C38" s="6" t="n">
        <v>320000</v>
      </c>
      <c r="E38" s="7" t="inlineStr"/>
    </row>
    <row r="39">
      <c r="B39" s="3" t="inlineStr">
        <is>
          <t>Technology &amp; hosting</t>
        </is>
      </c>
      <c r="C39" s="6" t="n">
        <v>480000</v>
      </c>
      <c r="E39" s="7" t="inlineStr">
        <is>
          <t>Includes the segregated health-data store</t>
        </is>
      </c>
    </row>
    <row r="40">
      <c r="B40" s="3" t="inlineStr">
        <is>
          <t>Compliance, DPO &amp; audit</t>
        </is>
      </c>
      <c r="C40" s="6" t="n">
        <v>320000</v>
      </c>
      <c r="E40" s="7" t="inlineStr">
        <is>
          <t>Higher than other verticals — health data</t>
        </is>
      </c>
    </row>
    <row r="41">
      <c r="B41" s="3" t="inlineStr">
        <is>
          <t>Marketing &amp; channel</t>
        </is>
      </c>
      <c r="C41" s="6" t="n">
        <v>420000</v>
      </c>
      <c r="E41" s="7" t="inlineStr"/>
    </row>
    <row r="42">
      <c r="B42" s="3" t="inlineStr">
        <is>
          <t>Other overhead</t>
        </is>
      </c>
      <c r="C42" s="6" t="n">
        <v>260000</v>
      </c>
      <c r="E42" s="7" t="inlineStr"/>
    </row>
    <row r="44">
      <c r="B44" s="5" t="inlineStr">
        <is>
          <t>RAMP</t>
        </is>
      </c>
    </row>
    <row r="45">
      <c r="B45" s="3" t="inlineStr">
        <is>
          <t>Month volumes reach 100%</t>
        </is>
      </c>
      <c r="C45" s="6" t="n">
        <v>36</v>
      </c>
      <c r="E45" s="7" t="inlineStr">
        <is>
          <t>Linear ramp from month 4</t>
        </is>
      </c>
    </row>
    <row r="46">
      <c r="B46" s="3" t="inlineStr">
        <is>
          <t>Month the first insurer protocol signs</t>
        </is>
      </c>
      <c r="C46" s="6" t="n">
        <v>8</v>
      </c>
      <c r="E46" s="7" t="inlineStr"/>
    </row>
    <row r="47">
      <c r="B47" s="3" t="inlineStr">
        <is>
          <t>Months between successive insurer signings</t>
        </is>
      </c>
      <c r="C47" s="6" t="n">
        <v>3</v>
      </c>
      <c r="E47" s="7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18" customWidth="1" min="4" max="4"/>
    <col width="18" customWidth="1" min="5" max="5"/>
    <col width="46" customWidth="1" min="6" max="6"/>
  </cols>
  <sheetData>
    <row r="1">
      <c r="A1" s="1" t="inlineStr">
        <is>
          <t>Unit Economics</t>
        </is>
      </c>
    </row>
    <row r="2">
      <c r="A2" s="2" t="inlineStr">
        <is>
          <t>Contribution per unit, by product. Live formulas off Assumptions.</t>
        </is>
      </c>
    </row>
    <row r="4">
      <c r="A4" s="9" t="inlineStr"/>
      <c r="B4" s="9" t="inlineStr">
        <is>
          <t>Product / line</t>
        </is>
      </c>
      <c r="C4" s="9" t="inlineStr">
        <is>
          <t>Revenue (₹)</t>
        </is>
      </c>
      <c r="D4" s="9" t="inlineStr">
        <is>
          <t>Direct cost (₹)</t>
        </is>
      </c>
      <c r="E4" s="9" t="inlineStr">
        <is>
          <t>Contribution (₹)</t>
        </is>
      </c>
      <c r="F4" s="9" t="inlineStr">
        <is>
          <t>Comment</t>
        </is>
      </c>
    </row>
    <row r="5" ht="30" customHeight="1">
      <c r="B5" s="10" t="inlineStr">
        <is>
          <t>Retail matter — self-filed, settles</t>
        </is>
      </c>
      <c r="C5" s="11">
        <f>(Assumptions!$C$13+Assumptions!$C$14+Assumptions!$C$15+Assumptions!$C$16)*(1-Assumptions!$C$24)</f>
        <v/>
      </c>
      <c r="D5" s="11">
        <f>Assumptions!$C$29+Assumptions!$C$30</f>
        <v/>
      </c>
      <c r="E5" s="12">
        <f>C5-D5</f>
        <v/>
      </c>
      <c r="F5" s="7" t="inlineStr">
        <is>
          <t>Thin by design. 28% of matters pay nothing at all</t>
        </is>
      </c>
    </row>
    <row r="6" ht="30" customHeight="1">
      <c r="B6" s="10" t="inlineStr">
        <is>
          <t>Retail matter — self-filed, does not settle</t>
        </is>
      </c>
      <c r="C6" s="11">
        <f>(Assumptions!$C$13+Assumptions!$C$14)*(1-Assumptions!$C$24)</f>
        <v/>
      </c>
      <c r="D6" s="11">
        <f>Assumptions!$C$29</f>
        <v/>
      </c>
      <c r="E6" s="12">
        <f>C6-D6</f>
        <v/>
      </c>
      <c r="F6" s="7" t="inlineStr">
        <is>
          <t>Mediation fee refunded where the other side does not participate</t>
        </is>
      </c>
    </row>
    <row r="7" ht="30" customHeight="1">
      <c r="B7" s="10" t="inlineStr">
        <is>
          <t>Retail matter — insurer-referred</t>
        </is>
      </c>
      <c r="C7" s="11">
        <f>Assumptions!$C$18</f>
        <v/>
      </c>
      <c r="D7" s="11">
        <f>Assumptions!$C$29*0.7+Assumptions!$C$30</f>
        <v/>
      </c>
      <c r="E7" s="12">
        <f>C7-D7</f>
        <v/>
      </c>
      <c r="F7" s="7" t="inlineStr">
        <is>
          <t>Cheaper to serve — the claim file arrives complete</t>
        </is>
      </c>
    </row>
    <row r="8" ht="30" customHeight="1">
      <c r="B8" s="10" t="inlineStr">
        <is>
          <t>Batched settlement day</t>
        </is>
      </c>
      <c r="C8" s="11">
        <f>Assumptions!$C$19+Assumptions!$C$20*Assumptions!$C$9</f>
        <v/>
      </c>
      <c r="D8" s="11">
        <f>Assumptions!$C$31</f>
        <v/>
      </c>
      <c r="E8" s="12">
        <f>C8-D8</f>
        <v/>
      </c>
      <c r="F8" s="7" t="inlineStr">
        <is>
          <t>The highest-margin product in the vertical</t>
        </is>
      </c>
    </row>
    <row r="9" ht="30" customHeight="1">
      <c r="B9" s="10" t="inlineStr">
        <is>
          <t>Insurer subscription (annual)</t>
        </is>
      </c>
      <c r="C9" s="11">
        <f>Assumptions!$C$17</f>
        <v/>
      </c>
      <c r="D9" s="11">
        <f>Assumptions!$C$33</f>
        <v/>
      </c>
      <c r="E9" s="12">
        <f>C9-D9</f>
        <v/>
      </c>
      <c r="F9" s="7" t="inlineStr">
        <is>
          <t>Before per-case fees on volume beyond the included allowance</t>
        </is>
      </c>
    </row>
    <row r="10" ht="30" customHeight="1">
      <c r="B10" s="10" t="inlineStr">
        <is>
          <t>Commercial matter</t>
        </is>
      </c>
      <c r="C10" s="11">
        <f>Assumptions!$C$21+Assumptions!$C$32</f>
        <v/>
      </c>
      <c r="D10" s="11">
        <f>Assumptions!$C$32+15000</f>
        <v/>
      </c>
      <c r="E10" s="12">
        <f>C10-D10</f>
        <v/>
      </c>
      <c r="F10" s="7" t="inlineStr">
        <is>
          <t>Neutral fee passes through; the administrative fee is the margin</t>
        </is>
      </c>
    </row>
    <row r="13">
      <c r="B13" s="5" t="inlineStr">
        <is>
          <t>What this table says</t>
        </is>
      </c>
    </row>
    <row r="14" ht="44" customHeight="1">
      <c r="B14" s="7" t="inlineStr">
        <is>
          <t>A self-filed retail matter contributes very little and, once a fee waiver applies, contributes nothing. That is intentional: the retail service buys credibility and volume, and credibility is what makes the insurer sale possible. The batched settlement day and the subscription are where the money is.</t>
        </is>
      </c>
    </row>
  </sheetData>
  <mergeCells count="3">
    <mergeCell ref="A2:F2"/>
    <mergeCell ref="A1:F1"/>
    <mergeCell ref="B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36-Month Build-Up</t>
        </is>
      </c>
    </row>
    <row r="2">
      <c r="A2" s="2" t="inlineStr">
        <is>
          <t>All figures monthly, in rupees. Driven entirely by Assumptions.</t>
        </is>
      </c>
    </row>
    <row r="4">
      <c r="B4" s="9" t="inlineStr">
        <is>
          <t>Month</t>
        </is>
      </c>
      <c r="C4" s="13" t="n">
        <v>1</v>
      </c>
      <c r="D4" s="13" t="n">
        <v>2</v>
      </c>
      <c r="E4" s="13" t="n">
        <v>3</v>
      </c>
      <c r="F4" s="13" t="n">
        <v>4</v>
      </c>
      <c r="G4" s="13" t="n">
        <v>5</v>
      </c>
      <c r="H4" s="13" t="n">
        <v>6</v>
      </c>
      <c r="I4" s="13" t="n">
        <v>7</v>
      </c>
      <c r="J4" s="13" t="n">
        <v>8</v>
      </c>
      <c r="K4" s="13" t="n">
        <v>9</v>
      </c>
      <c r="L4" s="13" t="n">
        <v>10</v>
      </c>
      <c r="M4" s="13" t="n">
        <v>11</v>
      </c>
      <c r="N4" s="13" t="n">
        <v>12</v>
      </c>
      <c r="O4" s="13" t="n">
        <v>13</v>
      </c>
      <c r="P4" s="13" t="n">
        <v>14</v>
      </c>
      <c r="Q4" s="13" t="n">
        <v>15</v>
      </c>
      <c r="R4" s="13" t="n">
        <v>16</v>
      </c>
      <c r="S4" s="13" t="n">
        <v>17</v>
      </c>
      <c r="T4" s="13" t="n">
        <v>18</v>
      </c>
      <c r="U4" s="13" t="n">
        <v>19</v>
      </c>
      <c r="V4" s="13" t="n">
        <v>20</v>
      </c>
      <c r="W4" s="13" t="n">
        <v>21</v>
      </c>
      <c r="X4" s="13" t="n">
        <v>22</v>
      </c>
      <c r="Y4" s="13" t="n">
        <v>23</v>
      </c>
      <c r="Z4" s="13" t="n">
        <v>24</v>
      </c>
      <c r="AA4" s="13" t="n">
        <v>25</v>
      </c>
      <c r="AB4" s="13" t="n">
        <v>26</v>
      </c>
      <c r="AC4" s="13" t="n">
        <v>27</v>
      </c>
      <c r="AD4" s="13" t="n">
        <v>28</v>
      </c>
      <c r="AE4" s="13" t="n">
        <v>29</v>
      </c>
      <c r="AF4" s="13" t="n">
        <v>30</v>
      </c>
      <c r="AG4" s="13" t="n">
        <v>31</v>
      </c>
      <c r="AH4" s="13" t="n">
        <v>32</v>
      </c>
      <c r="AI4" s="13" t="n">
        <v>33</v>
      </c>
      <c r="AJ4" s="13" t="n">
        <v>34</v>
      </c>
      <c r="AK4" s="13" t="n">
        <v>35</v>
      </c>
      <c r="AL4" s="13" t="n">
        <v>36</v>
      </c>
    </row>
    <row r="5">
      <c r="B5" s="3" t="inlineStr">
        <is>
          <t>Ramp factor</t>
        </is>
      </c>
      <c r="C5" s="14">
        <f>MIN(1,MAX(0,(1-3)/(Assumptions!$C$45-3)))</f>
        <v/>
      </c>
      <c r="D5" s="14">
        <f>MIN(1,MAX(0,(2-3)/(Assumptions!$C$45-3)))</f>
        <v/>
      </c>
      <c r="E5" s="14">
        <f>MIN(1,MAX(0,(3-3)/(Assumptions!$C$45-3)))</f>
        <v/>
      </c>
      <c r="F5" s="14">
        <f>MIN(1,MAX(0,(4-3)/(Assumptions!$C$45-3)))</f>
        <v/>
      </c>
      <c r="G5" s="14">
        <f>MIN(1,MAX(0,(5-3)/(Assumptions!$C$45-3)))</f>
        <v/>
      </c>
      <c r="H5" s="14">
        <f>MIN(1,MAX(0,(6-3)/(Assumptions!$C$45-3)))</f>
        <v/>
      </c>
      <c r="I5" s="14">
        <f>MIN(1,MAX(0,(7-3)/(Assumptions!$C$45-3)))</f>
        <v/>
      </c>
      <c r="J5" s="14">
        <f>MIN(1,MAX(0,(8-3)/(Assumptions!$C$45-3)))</f>
        <v/>
      </c>
      <c r="K5" s="14">
        <f>MIN(1,MAX(0,(9-3)/(Assumptions!$C$45-3)))</f>
        <v/>
      </c>
      <c r="L5" s="14">
        <f>MIN(1,MAX(0,(10-3)/(Assumptions!$C$45-3)))</f>
        <v/>
      </c>
      <c r="M5" s="14">
        <f>MIN(1,MAX(0,(11-3)/(Assumptions!$C$45-3)))</f>
        <v/>
      </c>
      <c r="N5" s="14">
        <f>MIN(1,MAX(0,(12-3)/(Assumptions!$C$45-3)))</f>
        <v/>
      </c>
      <c r="O5" s="14">
        <f>MIN(1,MAX(0,(13-3)/(Assumptions!$C$45-3)))</f>
        <v/>
      </c>
      <c r="P5" s="14">
        <f>MIN(1,MAX(0,(14-3)/(Assumptions!$C$45-3)))</f>
        <v/>
      </c>
      <c r="Q5" s="14">
        <f>MIN(1,MAX(0,(15-3)/(Assumptions!$C$45-3)))</f>
        <v/>
      </c>
      <c r="R5" s="14">
        <f>MIN(1,MAX(0,(16-3)/(Assumptions!$C$45-3)))</f>
        <v/>
      </c>
      <c r="S5" s="14">
        <f>MIN(1,MAX(0,(17-3)/(Assumptions!$C$45-3)))</f>
        <v/>
      </c>
      <c r="T5" s="14">
        <f>MIN(1,MAX(0,(18-3)/(Assumptions!$C$45-3)))</f>
        <v/>
      </c>
      <c r="U5" s="14">
        <f>MIN(1,MAX(0,(19-3)/(Assumptions!$C$45-3)))</f>
        <v/>
      </c>
      <c r="V5" s="14">
        <f>MIN(1,MAX(0,(20-3)/(Assumptions!$C$45-3)))</f>
        <v/>
      </c>
      <c r="W5" s="14">
        <f>MIN(1,MAX(0,(21-3)/(Assumptions!$C$45-3)))</f>
        <v/>
      </c>
      <c r="X5" s="14">
        <f>MIN(1,MAX(0,(22-3)/(Assumptions!$C$45-3)))</f>
        <v/>
      </c>
      <c r="Y5" s="14">
        <f>MIN(1,MAX(0,(23-3)/(Assumptions!$C$45-3)))</f>
        <v/>
      </c>
      <c r="Z5" s="14">
        <f>MIN(1,MAX(0,(24-3)/(Assumptions!$C$45-3)))</f>
        <v/>
      </c>
      <c r="AA5" s="14">
        <f>MIN(1,MAX(0,(25-3)/(Assumptions!$C$45-3)))</f>
        <v/>
      </c>
      <c r="AB5" s="14">
        <f>MIN(1,MAX(0,(26-3)/(Assumptions!$C$45-3)))</f>
        <v/>
      </c>
      <c r="AC5" s="14">
        <f>MIN(1,MAX(0,(27-3)/(Assumptions!$C$45-3)))</f>
        <v/>
      </c>
      <c r="AD5" s="14">
        <f>MIN(1,MAX(0,(28-3)/(Assumptions!$C$45-3)))</f>
        <v/>
      </c>
      <c r="AE5" s="14">
        <f>MIN(1,MAX(0,(29-3)/(Assumptions!$C$45-3)))</f>
        <v/>
      </c>
      <c r="AF5" s="14">
        <f>MIN(1,MAX(0,(30-3)/(Assumptions!$C$45-3)))</f>
        <v/>
      </c>
      <c r="AG5" s="14">
        <f>MIN(1,MAX(0,(31-3)/(Assumptions!$C$45-3)))</f>
        <v/>
      </c>
      <c r="AH5" s="14">
        <f>MIN(1,MAX(0,(32-3)/(Assumptions!$C$45-3)))</f>
        <v/>
      </c>
      <c r="AI5" s="14">
        <f>MIN(1,MAX(0,(33-3)/(Assumptions!$C$45-3)))</f>
        <v/>
      </c>
      <c r="AJ5" s="14">
        <f>MIN(1,MAX(0,(34-3)/(Assumptions!$C$45-3)))</f>
        <v/>
      </c>
      <c r="AK5" s="14">
        <f>MIN(1,MAX(0,(35-3)/(Assumptions!$C$45-3)))</f>
        <v/>
      </c>
      <c r="AL5" s="14">
        <f>MIN(1,MAX(0,(36-3)/(Assumptions!$C$45-3)))</f>
        <v/>
      </c>
    </row>
    <row r="6">
      <c r="B6" s="3" t="inlineStr">
        <is>
          <t>Retail matters</t>
        </is>
      </c>
      <c r="C6" s="11">
        <f>Assumptions!$C$5*C5</f>
        <v/>
      </c>
      <c r="D6" s="11">
        <f>Assumptions!$C$5*D5</f>
        <v/>
      </c>
      <c r="E6" s="11">
        <f>Assumptions!$C$5*E5</f>
        <v/>
      </c>
      <c r="F6" s="11">
        <f>Assumptions!$C$5*F5</f>
        <v/>
      </c>
      <c r="G6" s="11">
        <f>Assumptions!$C$5*G5</f>
        <v/>
      </c>
      <c r="H6" s="11">
        <f>Assumptions!$C$5*H5</f>
        <v/>
      </c>
      <c r="I6" s="11">
        <f>Assumptions!$C$5*I5</f>
        <v/>
      </c>
      <c r="J6" s="11">
        <f>Assumptions!$C$5*J5</f>
        <v/>
      </c>
      <c r="K6" s="11">
        <f>Assumptions!$C$5*K5</f>
        <v/>
      </c>
      <c r="L6" s="11">
        <f>Assumptions!$C$5*L5</f>
        <v/>
      </c>
      <c r="M6" s="11">
        <f>Assumptions!$C$5*M5</f>
        <v/>
      </c>
      <c r="N6" s="11">
        <f>Assumptions!$C$5*N5</f>
        <v/>
      </c>
      <c r="O6" s="11">
        <f>Assumptions!$C$5*O5</f>
        <v/>
      </c>
      <c r="P6" s="11">
        <f>Assumptions!$C$5*P5</f>
        <v/>
      </c>
      <c r="Q6" s="11">
        <f>Assumptions!$C$5*Q5</f>
        <v/>
      </c>
      <c r="R6" s="11">
        <f>Assumptions!$C$5*R5</f>
        <v/>
      </c>
      <c r="S6" s="11">
        <f>Assumptions!$C$5*S5</f>
        <v/>
      </c>
      <c r="T6" s="11">
        <f>Assumptions!$C$5*T5</f>
        <v/>
      </c>
      <c r="U6" s="11">
        <f>Assumptions!$C$5*U5</f>
        <v/>
      </c>
      <c r="V6" s="11">
        <f>Assumptions!$C$5*V5</f>
        <v/>
      </c>
      <c r="W6" s="11">
        <f>Assumptions!$C$5*W5</f>
        <v/>
      </c>
      <c r="X6" s="11">
        <f>Assumptions!$C$5*X5</f>
        <v/>
      </c>
      <c r="Y6" s="11">
        <f>Assumptions!$C$5*Y5</f>
        <v/>
      </c>
      <c r="Z6" s="11">
        <f>Assumptions!$C$5*Z5</f>
        <v/>
      </c>
      <c r="AA6" s="11">
        <f>Assumptions!$C$5*AA5</f>
        <v/>
      </c>
      <c r="AB6" s="11">
        <f>Assumptions!$C$5*AB5</f>
        <v/>
      </c>
      <c r="AC6" s="11">
        <f>Assumptions!$C$5*AC5</f>
        <v/>
      </c>
      <c r="AD6" s="11">
        <f>Assumptions!$C$5*AD5</f>
        <v/>
      </c>
      <c r="AE6" s="11">
        <f>Assumptions!$C$5*AE5</f>
        <v/>
      </c>
      <c r="AF6" s="11">
        <f>Assumptions!$C$5*AF5</f>
        <v/>
      </c>
      <c r="AG6" s="11">
        <f>Assumptions!$C$5*AG5</f>
        <v/>
      </c>
      <c r="AH6" s="11">
        <f>Assumptions!$C$5*AH5</f>
        <v/>
      </c>
      <c r="AI6" s="11">
        <f>Assumptions!$C$5*AI5</f>
        <v/>
      </c>
      <c r="AJ6" s="11">
        <f>Assumptions!$C$5*AJ5</f>
        <v/>
      </c>
      <c r="AK6" s="11">
        <f>Assumptions!$C$5*AK5</f>
        <v/>
      </c>
      <c r="AL6" s="11">
        <f>Assumptions!$C$5*AL5</f>
        <v/>
      </c>
    </row>
    <row r="7">
      <c r="B7" s="3" t="inlineStr">
        <is>
          <t>— of which insurer-referred</t>
        </is>
      </c>
      <c r="C7" s="11">
        <f>C6*Assumptions!$C$6</f>
        <v/>
      </c>
      <c r="D7" s="11">
        <f>D6*Assumptions!$C$6</f>
        <v/>
      </c>
      <c r="E7" s="11">
        <f>E6*Assumptions!$C$6</f>
        <v/>
      </c>
      <c r="F7" s="11">
        <f>F6*Assumptions!$C$6</f>
        <v/>
      </c>
      <c r="G7" s="11">
        <f>G6*Assumptions!$C$6</f>
        <v/>
      </c>
      <c r="H7" s="11">
        <f>H6*Assumptions!$C$6</f>
        <v/>
      </c>
      <c r="I7" s="11">
        <f>I6*Assumptions!$C$6</f>
        <v/>
      </c>
      <c r="J7" s="11">
        <f>J6*Assumptions!$C$6</f>
        <v/>
      </c>
      <c r="K7" s="11">
        <f>K6*Assumptions!$C$6</f>
        <v/>
      </c>
      <c r="L7" s="11">
        <f>L6*Assumptions!$C$6</f>
        <v/>
      </c>
      <c r="M7" s="11">
        <f>M6*Assumptions!$C$6</f>
        <v/>
      </c>
      <c r="N7" s="11">
        <f>N6*Assumptions!$C$6</f>
        <v/>
      </c>
      <c r="O7" s="11">
        <f>O6*Assumptions!$C$6</f>
        <v/>
      </c>
      <c r="P7" s="11">
        <f>P6*Assumptions!$C$6</f>
        <v/>
      </c>
      <c r="Q7" s="11">
        <f>Q6*Assumptions!$C$6</f>
        <v/>
      </c>
      <c r="R7" s="11">
        <f>R6*Assumptions!$C$6</f>
        <v/>
      </c>
      <c r="S7" s="11">
        <f>S6*Assumptions!$C$6</f>
        <v/>
      </c>
      <c r="T7" s="11">
        <f>T6*Assumptions!$C$6</f>
        <v/>
      </c>
      <c r="U7" s="11">
        <f>U6*Assumptions!$C$6</f>
        <v/>
      </c>
      <c r="V7" s="11">
        <f>V6*Assumptions!$C$6</f>
        <v/>
      </c>
      <c r="W7" s="11">
        <f>W6*Assumptions!$C$6</f>
        <v/>
      </c>
      <c r="X7" s="11">
        <f>X6*Assumptions!$C$6</f>
        <v/>
      </c>
      <c r="Y7" s="11">
        <f>Y6*Assumptions!$C$6</f>
        <v/>
      </c>
      <c r="Z7" s="11">
        <f>Z6*Assumptions!$C$6</f>
        <v/>
      </c>
      <c r="AA7" s="11">
        <f>AA6*Assumptions!$C$6</f>
        <v/>
      </c>
      <c r="AB7" s="11">
        <f>AB6*Assumptions!$C$6</f>
        <v/>
      </c>
      <c r="AC7" s="11">
        <f>AC6*Assumptions!$C$6</f>
        <v/>
      </c>
      <c r="AD7" s="11">
        <f>AD6*Assumptions!$C$6</f>
        <v/>
      </c>
      <c r="AE7" s="11">
        <f>AE6*Assumptions!$C$6</f>
        <v/>
      </c>
      <c r="AF7" s="11">
        <f>AF6*Assumptions!$C$6</f>
        <v/>
      </c>
      <c r="AG7" s="11">
        <f>AG6*Assumptions!$C$6</f>
        <v/>
      </c>
      <c r="AH7" s="11">
        <f>AH6*Assumptions!$C$6</f>
        <v/>
      </c>
      <c r="AI7" s="11">
        <f>AI6*Assumptions!$C$6</f>
        <v/>
      </c>
      <c r="AJ7" s="11">
        <f>AJ6*Assumptions!$C$6</f>
        <v/>
      </c>
      <c r="AK7" s="11">
        <f>AK6*Assumptions!$C$6</f>
        <v/>
      </c>
      <c r="AL7" s="11">
        <f>AL6*Assumptions!$C$6</f>
        <v/>
      </c>
    </row>
    <row r="8">
      <c r="B8" s="3" t="inlineStr">
        <is>
          <t>— of which self-filed</t>
        </is>
      </c>
      <c r="C8" s="11">
        <f>C6-C7</f>
        <v/>
      </c>
      <c r="D8" s="11">
        <f>D6-D7</f>
        <v/>
      </c>
      <c r="E8" s="11">
        <f>E6-E7</f>
        <v/>
      </c>
      <c r="F8" s="11">
        <f>F6-F7</f>
        <v/>
      </c>
      <c r="G8" s="11">
        <f>G6-G7</f>
        <v/>
      </c>
      <c r="H8" s="11">
        <f>H6-H7</f>
        <v/>
      </c>
      <c r="I8" s="11">
        <f>I6-I7</f>
        <v/>
      </c>
      <c r="J8" s="11">
        <f>J6-J7</f>
        <v/>
      </c>
      <c r="K8" s="11">
        <f>K6-K7</f>
        <v/>
      </c>
      <c r="L8" s="11">
        <f>L6-L7</f>
        <v/>
      </c>
      <c r="M8" s="11">
        <f>M6-M7</f>
        <v/>
      </c>
      <c r="N8" s="11">
        <f>N6-N7</f>
        <v/>
      </c>
      <c r="O8" s="11">
        <f>O6-O7</f>
        <v/>
      </c>
      <c r="P8" s="11">
        <f>P6-P7</f>
        <v/>
      </c>
      <c r="Q8" s="11">
        <f>Q6-Q7</f>
        <v/>
      </c>
      <c r="R8" s="11">
        <f>R6-R7</f>
        <v/>
      </c>
      <c r="S8" s="11">
        <f>S6-S7</f>
        <v/>
      </c>
      <c r="T8" s="11">
        <f>T6-T7</f>
        <v/>
      </c>
      <c r="U8" s="11">
        <f>U6-U7</f>
        <v/>
      </c>
      <c r="V8" s="11">
        <f>V6-V7</f>
        <v/>
      </c>
      <c r="W8" s="11">
        <f>W6-W7</f>
        <v/>
      </c>
      <c r="X8" s="11">
        <f>X6-X7</f>
        <v/>
      </c>
      <c r="Y8" s="11">
        <f>Y6-Y7</f>
        <v/>
      </c>
      <c r="Z8" s="11">
        <f>Z6-Z7</f>
        <v/>
      </c>
      <c r="AA8" s="11">
        <f>AA6-AA7</f>
        <v/>
      </c>
      <c r="AB8" s="11">
        <f>AB6-AB7</f>
        <v/>
      </c>
      <c r="AC8" s="11">
        <f>AC6-AC7</f>
        <v/>
      </c>
      <c r="AD8" s="11">
        <f>AD6-AD7</f>
        <v/>
      </c>
      <c r="AE8" s="11">
        <f>AE6-AE7</f>
        <v/>
      </c>
      <c r="AF8" s="11">
        <f>AF6-AF7</f>
        <v/>
      </c>
      <c r="AG8" s="11">
        <f>AG6-AG7</f>
        <v/>
      </c>
      <c r="AH8" s="11">
        <f>AH6-AH7</f>
        <v/>
      </c>
      <c r="AI8" s="11">
        <f>AI6-AI7</f>
        <v/>
      </c>
      <c r="AJ8" s="11">
        <f>AJ6-AJ7</f>
        <v/>
      </c>
      <c r="AK8" s="11">
        <f>AK6-AK7</f>
        <v/>
      </c>
      <c r="AL8" s="11">
        <f>AL6-AL7</f>
        <v/>
      </c>
    </row>
    <row r="9">
      <c r="B9" s="3" t="inlineStr">
        <is>
          <t>Insurer subscribers</t>
        </is>
      </c>
      <c r="C9" s="15">
        <f>MIN(Assumptions!$C$7,MAX(0,ROUNDDOWN((1-Assumptions!$C$46)/Assumptions!$C$47,0)+1))</f>
        <v/>
      </c>
      <c r="D9" s="15">
        <f>MIN(Assumptions!$C$7,MAX(0,ROUNDDOWN((2-Assumptions!$C$46)/Assumptions!$C$47,0)+1))</f>
        <v/>
      </c>
      <c r="E9" s="15">
        <f>MIN(Assumptions!$C$7,MAX(0,ROUNDDOWN((3-Assumptions!$C$46)/Assumptions!$C$47,0)+1))</f>
        <v/>
      </c>
      <c r="F9" s="15">
        <f>MIN(Assumptions!$C$7,MAX(0,ROUNDDOWN((4-Assumptions!$C$46)/Assumptions!$C$47,0)+1))</f>
        <v/>
      </c>
      <c r="G9" s="15">
        <f>MIN(Assumptions!$C$7,MAX(0,ROUNDDOWN((5-Assumptions!$C$46)/Assumptions!$C$47,0)+1))</f>
        <v/>
      </c>
      <c r="H9" s="15">
        <f>MIN(Assumptions!$C$7,MAX(0,ROUNDDOWN((6-Assumptions!$C$46)/Assumptions!$C$47,0)+1))</f>
        <v/>
      </c>
      <c r="I9" s="15">
        <f>MIN(Assumptions!$C$7,MAX(0,ROUNDDOWN((7-Assumptions!$C$46)/Assumptions!$C$47,0)+1))</f>
        <v/>
      </c>
      <c r="J9" s="15">
        <f>MIN(Assumptions!$C$7,MAX(0,ROUNDDOWN((8-Assumptions!$C$46)/Assumptions!$C$47,0)+1))</f>
        <v/>
      </c>
      <c r="K9" s="15">
        <f>MIN(Assumptions!$C$7,MAX(0,ROUNDDOWN((9-Assumptions!$C$46)/Assumptions!$C$47,0)+1))</f>
        <v/>
      </c>
      <c r="L9" s="15">
        <f>MIN(Assumptions!$C$7,MAX(0,ROUNDDOWN((10-Assumptions!$C$46)/Assumptions!$C$47,0)+1))</f>
        <v/>
      </c>
      <c r="M9" s="15">
        <f>MIN(Assumptions!$C$7,MAX(0,ROUNDDOWN((11-Assumptions!$C$46)/Assumptions!$C$47,0)+1))</f>
        <v/>
      </c>
      <c r="N9" s="15">
        <f>MIN(Assumptions!$C$7,MAX(0,ROUNDDOWN((12-Assumptions!$C$46)/Assumptions!$C$47,0)+1))</f>
        <v/>
      </c>
      <c r="O9" s="15">
        <f>MIN(Assumptions!$C$7,MAX(0,ROUNDDOWN((13-Assumptions!$C$46)/Assumptions!$C$47,0)+1))</f>
        <v/>
      </c>
      <c r="P9" s="15">
        <f>MIN(Assumptions!$C$7,MAX(0,ROUNDDOWN((14-Assumptions!$C$46)/Assumptions!$C$47,0)+1))</f>
        <v/>
      </c>
      <c r="Q9" s="15">
        <f>MIN(Assumptions!$C$7,MAX(0,ROUNDDOWN((15-Assumptions!$C$46)/Assumptions!$C$47,0)+1))</f>
        <v/>
      </c>
      <c r="R9" s="15">
        <f>MIN(Assumptions!$C$7,MAX(0,ROUNDDOWN((16-Assumptions!$C$46)/Assumptions!$C$47,0)+1))</f>
        <v/>
      </c>
      <c r="S9" s="15">
        <f>MIN(Assumptions!$C$7,MAX(0,ROUNDDOWN((17-Assumptions!$C$46)/Assumptions!$C$47,0)+1))</f>
        <v/>
      </c>
      <c r="T9" s="15">
        <f>MIN(Assumptions!$C$7,MAX(0,ROUNDDOWN((18-Assumptions!$C$46)/Assumptions!$C$47,0)+1))</f>
        <v/>
      </c>
      <c r="U9" s="15">
        <f>MIN(Assumptions!$C$7,MAX(0,ROUNDDOWN((19-Assumptions!$C$46)/Assumptions!$C$47,0)+1))</f>
        <v/>
      </c>
      <c r="V9" s="15">
        <f>MIN(Assumptions!$C$7,MAX(0,ROUNDDOWN((20-Assumptions!$C$46)/Assumptions!$C$47,0)+1))</f>
        <v/>
      </c>
      <c r="W9" s="15">
        <f>MIN(Assumptions!$C$7,MAX(0,ROUNDDOWN((21-Assumptions!$C$46)/Assumptions!$C$47,0)+1))</f>
        <v/>
      </c>
      <c r="X9" s="15">
        <f>MIN(Assumptions!$C$7,MAX(0,ROUNDDOWN((22-Assumptions!$C$46)/Assumptions!$C$47,0)+1))</f>
        <v/>
      </c>
      <c r="Y9" s="15">
        <f>MIN(Assumptions!$C$7,MAX(0,ROUNDDOWN((23-Assumptions!$C$46)/Assumptions!$C$47,0)+1))</f>
        <v/>
      </c>
      <c r="Z9" s="15">
        <f>MIN(Assumptions!$C$7,MAX(0,ROUNDDOWN((24-Assumptions!$C$46)/Assumptions!$C$47,0)+1))</f>
        <v/>
      </c>
      <c r="AA9" s="15">
        <f>MIN(Assumptions!$C$7,MAX(0,ROUNDDOWN((25-Assumptions!$C$46)/Assumptions!$C$47,0)+1))</f>
        <v/>
      </c>
      <c r="AB9" s="15">
        <f>MIN(Assumptions!$C$7,MAX(0,ROUNDDOWN((26-Assumptions!$C$46)/Assumptions!$C$47,0)+1))</f>
        <v/>
      </c>
      <c r="AC9" s="15">
        <f>MIN(Assumptions!$C$7,MAX(0,ROUNDDOWN((27-Assumptions!$C$46)/Assumptions!$C$47,0)+1))</f>
        <v/>
      </c>
      <c r="AD9" s="15">
        <f>MIN(Assumptions!$C$7,MAX(0,ROUNDDOWN((28-Assumptions!$C$46)/Assumptions!$C$47,0)+1))</f>
        <v/>
      </c>
      <c r="AE9" s="15">
        <f>MIN(Assumptions!$C$7,MAX(0,ROUNDDOWN((29-Assumptions!$C$46)/Assumptions!$C$47,0)+1))</f>
        <v/>
      </c>
      <c r="AF9" s="15">
        <f>MIN(Assumptions!$C$7,MAX(0,ROUNDDOWN((30-Assumptions!$C$46)/Assumptions!$C$47,0)+1))</f>
        <v/>
      </c>
      <c r="AG9" s="15">
        <f>MIN(Assumptions!$C$7,MAX(0,ROUNDDOWN((31-Assumptions!$C$46)/Assumptions!$C$47,0)+1))</f>
        <v/>
      </c>
      <c r="AH9" s="15">
        <f>MIN(Assumptions!$C$7,MAX(0,ROUNDDOWN((32-Assumptions!$C$46)/Assumptions!$C$47,0)+1))</f>
        <v/>
      </c>
      <c r="AI9" s="15">
        <f>MIN(Assumptions!$C$7,MAX(0,ROUNDDOWN((33-Assumptions!$C$46)/Assumptions!$C$47,0)+1))</f>
        <v/>
      </c>
      <c r="AJ9" s="15">
        <f>MIN(Assumptions!$C$7,MAX(0,ROUNDDOWN((34-Assumptions!$C$46)/Assumptions!$C$47,0)+1))</f>
        <v/>
      </c>
      <c r="AK9" s="15">
        <f>MIN(Assumptions!$C$7,MAX(0,ROUNDDOWN((35-Assumptions!$C$46)/Assumptions!$C$47,0)+1))</f>
        <v/>
      </c>
      <c r="AL9" s="15">
        <f>MIN(Assumptions!$C$7,MAX(0,ROUNDDOWN((36-Assumptions!$C$46)/Assumptions!$C$47,0)+1))</f>
        <v/>
      </c>
    </row>
    <row r="10">
      <c r="B10" s="3" t="inlineStr">
        <is>
          <t>Batched days</t>
        </is>
      </c>
      <c r="C10" s="16">
        <f>Assumptions!$C$8*C5*(C9/MAX(1,Assumptions!$C$7))</f>
        <v/>
      </c>
      <c r="D10" s="16">
        <f>Assumptions!$C$8*D5*(D9/MAX(1,Assumptions!$C$7))</f>
        <v/>
      </c>
      <c r="E10" s="16">
        <f>Assumptions!$C$8*E5*(E9/MAX(1,Assumptions!$C$7))</f>
        <v/>
      </c>
      <c r="F10" s="16">
        <f>Assumptions!$C$8*F5*(F9/MAX(1,Assumptions!$C$7))</f>
        <v/>
      </c>
      <c r="G10" s="16">
        <f>Assumptions!$C$8*G5*(G9/MAX(1,Assumptions!$C$7))</f>
        <v/>
      </c>
      <c r="H10" s="16">
        <f>Assumptions!$C$8*H5*(H9/MAX(1,Assumptions!$C$7))</f>
        <v/>
      </c>
      <c r="I10" s="16">
        <f>Assumptions!$C$8*I5*(I9/MAX(1,Assumptions!$C$7))</f>
        <v/>
      </c>
      <c r="J10" s="16">
        <f>Assumptions!$C$8*J5*(J9/MAX(1,Assumptions!$C$7))</f>
        <v/>
      </c>
      <c r="K10" s="16">
        <f>Assumptions!$C$8*K5*(K9/MAX(1,Assumptions!$C$7))</f>
        <v/>
      </c>
      <c r="L10" s="16">
        <f>Assumptions!$C$8*L5*(L9/MAX(1,Assumptions!$C$7))</f>
        <v/>
      </c>
      <c r="M10" s="16">
        <f>Assumptions!$C$8*M5*(M9/MAX(1,Assumptions!$C$7))</f>
        <v/>
      </c>
      <c r="N10" s="16">
        <f>Assumptions!$C$8*N5*(N9/MAX(1,Assumptions!$C$7))</f>
        <v/>
      </c>
      <c r="O10" s="16">
        <f>Assumptions!$C$8*O5*(O9/MAX(1,Assumptions!$C$7))</f>
        <v/>
      </c>
      <c r="P10" s="16">
        <f>Assumptions!$C$8*P5*(P9/MAX(1,Assumptions!$C$7))</f>
        <v/>
      </c>
      <c r="Q10" s="16">
        <f>Assumptions!$C$8*Q5*(Q9/MAX(1,Assumptions!$C$7))</f>
        <v/>
      </c>
      <c r="R10" s="16">
        <f>Assumptions!$C$8*R5*(R9/MAX(1,Assumptions!$C$7))</f>
        <v/>
      </c>
      <c r="S10" s="16">
        <f>Assumptions!$C$8*S5*(S9/MAX(1,Assumptions!$C$7))</f>
        <v/>
      </c>
      <c r="T10" s="16">
        <f>Assumptions!$C$8*T5*(T9/MAX(1,Assumptions!$C$7))</f>
        <v/>
      </c>
      <c r="U10" s="16">
        <f>Assumptions!$C$8*U5*(U9/MAX(1,Assumptions!$C$7))</f>
        <v/>
      </c>
      <c r="V10" s="16">
        <f>Assumptions!$C$8*V5*(V9/MAX(1,Assumptions!$C$7))</f>
        <v/>
      </c>
      <c r="W10" s="16">
        <f>Assumptions!$C$8*W5*(W9/MAX(1,Assumptions!$C$7))</f>
        <v/>
      </c>
      <c r="X10" s="16">
        <f>Assumptions!$C$8*X5*(X9/MAX(1,Assumptions!$C$7))</f>
        <v/>
      </c>
      <c r="Y10" s="16">
        <f>Assumptions!$C$8*Y5*(Y9/MAX(1,Assumptions!$C$7))</f>
        <v/>
      </c>
      <c r="Z10" s="16">
        <f>Assumptions!$C$8*Z5*(Z9/MAX(1,Assumptions!$C$7))</f>
        <v/>
      </c>
      <c r="AA10" s="16">
        <f>Assumptions!$C$8*AA5*(AA9/MAX(1,Assumptions!$C$7))</f>
        <v/>
      </c>
      <c r="AB10" s="16">
        <f>Assumptions!$C$8*AB5*(AB9/MAX(1,Assumptions!$C$7))</f>
        <v/>
      </c>
      <c r="AC10" s="16">
        <f>Assumptions!$C$8*AC5*(AC9/MAX(1,Assumptions!$C$7))</f>
        <v/>
      </c>
      <c r="AD10" s="16">
        <f>Assumptions!$C$8*AD5*(AD9/MAX(1,Assumptions!$C$7))</f>
        <v/>
      </c>
      <c r="AE10" s="16">
        <f>Assumptions!$C$8*AE5*(AE9/MAX(1,Assumptions!$C$7))</f>
        <v/>
      </c>
      <c r="AF10" s="16">
        <f>Assumptions!$C$8*AF5*(AF9/MAX(1,Assumptions!$C$7))</f>
        <v/>
      </c>
      <c r="AG10" s="16">
        <f>Assumptions!$C$8*AG5*(AG9/MAX(1,Assumptions!$C$7))</f>
        <v/>
      </c>
      <c r="AH10" s="16">
        <f>Assumptions!$C$8*AH5*(AH9/MAX(1,Assumptions!$C$7))</f>
        <v/>
      </c>
      <c r="AI10" s="16">
        <f>Assumptions!$C$8*AI5*(AI9/MAX(1,Assumptions!$C$7))</f>
        <v/>
      </c>
      <c r="AJ10" s="16">
        <f>Assumptions!$C$8*AJ5*(AJ9/MAX(1,Assumptions!$C$7))</f>
        <v/>
      </c>
      <c r="AK10" s="16">
        <f>Assumptions!$C$8*AK5*(AK9/MAX(1,Assumptions!$C$7))</f>
        <v/>
      </c>
      <c r="AL10" s="16">
        <f>Assumptions!$C$8*AL5*(AL9/MAX(1,Assumptions!$C$7))</f>
        <v/>
      </c>
    </row>
    <row r="11">
      <c r="B11" s="3" t="inlineStr">
        <is>
          <t>Commercial matters</t>
        </is>
      </c>
      <c r="C11" s="16">
        <f>Assumptions!$C$10*C5</f>
        <v/>
      </c>
      <c r="D11" s="16">
        <f>Assumptions!$C$10*D5</f>
        <v/>
      </c>
      <c r="E11" s="16">
        <f>Assumptions!$C$10*E5</f>
        <v/>
      </c>
      <c r="F11" s="16">
        <f>Assumptions!$C$10*F5</f>
        <v/>
      </c>
      <c r="G11" s="16">
        <f>Assumptions!$C$10*G5</f>
        <v/>
      </c>
      <c r="H11" s="16">
        <f>Assumptions!$C$10*H5</f>
        <v/>
      </c>
      <c r="I11" s="16">
        <f>Assumptions!$C$10*I5</f>
        <v/>
      </c>
      <c r="J11" s="16">
        <f>Assumptions!$C$10*J5</f>
        <v/>
      </c>
      <c r="K11" s="16">
        <f>Assumptions!$C$10*K5</f>
        <v/>
      </c>
      <c r="L11" s="16">
        <f>Assumptions!$C$10*L5</f>
        <v/>
      </c>
      <c r="M11" s="16">
        <f>Assumptions!$C$10*M5</f>
        <v/>
      </c>
      <c r="N11" s="16">
        <f>Assumptions!$C$10*N5</f>
        <v/>
      </c>
      <c r="O11" s="16">
        <f>Assumptions!$C$10*O5</f>
        <v/>
      </c>
      <c r="P11" s="16">
        <f>Assumptions!$C$10*P5</f>
        <v/>
      </c>
      <c r="Q11" s="16">
        <f>Assumptions!$C$10*Q5</f>
        <v/>
      </c>
      <c r="R11" s="16">
        <f>Assumptions!$C$10*R5</f>
        <v/>
      </c>
      <c r="S11" s="16">
        <f>Assumptions!$C$10*S5</f>
        <v/>
      </c>
      <c r="T11" s="16">
        <f>Assumptions!$C$10*T5</f>
        <v/>
      </c>
      <c r="U11" s="16">
        <f>Assumptions!$C$10*U5</f>
        <v/>
      </c>
      <c r="V11" s="16">
        <f>Assumptions!$C$10*V5</f>
        <v/>
      </c>
      <c r="W11" s="16">
        <f>Assumptions!$C$10*W5</f>
        <v/>
      </c>
      <c r="X11" s="16">
        <f>Assumptions!$C$10*X5</f>
        <v/>
      </c>
      <c r="Y11" s="16">
        <f>Assumptions!$C$10*Y5</f>
        <v/>
      </c>
      <c r="Z11" s="16">
        <f>Assumptions!$C$10*Z5</f>
        <v/>
      </c>
      <c r="AA11" s="16">
        <f>Assumptions!$C$10*AA5</f>
        <v/>
      </c>
      <c r="AB11" s="16">
        <f>Assumptions!$C$10*AB5</f>
        <v/>
      </c>
      <c r="AC11" s="16">
        <f>Assumptions!$C$10*AC5</f>
        <v/>
      </c>
      <c r="AD11" s="16">
        <f>Assumptions!$C$10*AD5</f>
        <v/>
      </c>
      <c r="AE11" s="16">
        <f>Assumptions!$C$10*AE5</f>
        <v/>
      </c>
      <c r="AF11" s="16">
        <f>Assumptions!$C$10*AF5</f>
        <v/>
      </c>
      <c r="AG11" s="16">
        <f>Assumptions!$C$10*AG5</f>
        <v/>
      </c>
      <c r="AH11" s="16">
        <f>Assumptions!$C$10*AH5</f>
        <v/>
      </c>
      <c r="AI11" s="16">
        <f>Assumptions!$C$10*AI5</f>
        <v/>
      </c>
      <c r="AJ11" s="16">
        <f>Assumptions!$C$10*AJ5</f>
        <v/>
      </c>
      <c r="AK11" s="16">
        <f>Assumptions!$C$10*AK5</f>
        <v/>
      </c>
      <c r="AL11" s="16">
        <f>Assumptions!$C$10*AL5</f>
        <v/>
      </c>
    </row>
    <row r="12">
      <c r="B12" s="3" t="inlineStr"/>
    </row>
    <row r="13">
      <c r="B13" s="5" t="inlineStr">
        <is>
          <t>REVENUE</t>
        </is>
      </c>
    </row>
    <row r="14">
      <c r="B14" s="3" t="inlineStr">
        <is>
          <t>Retail — self-filed</t>
        </is>
      </c>
      <c r="C14" s="11">
        <f>C8*'Unit Economics'!$C$5*Assumptions!$C$25+C8*'Unit Economics'!$C$6*(1-Assumptions!$C$25)</f>
        <v/>
      </c>
      <c r="D14" s="11">
        <f>D8*'Unit Economics'!$C$5*Assumptions!$C$25+D8*'Unit Economics'!$C$6*(1-Assumptions!$C$25)</f>
        <v/>
      </c>
      <c r="E14" s="11">
        <f>E8*'Unit Economics'!$C$5*Assumptions!$C$25+E8*'Unit Economics'!$C$6*(1-Assumptions!$C$25)</f>
        <v/>
      </c>
      <c r="F14" s="11">
        <f>F8*'Unit Economics'!$C$5*Assumptions!$C$25+F8*'Unit Economics'!$C$6*(1-Assumptions!$C$25)</f>
        <v/>
      </c>
      <c r="G14" s="11">
        <f>G8*'Unit Economics'!$C$5*Assumptions!$C$25+G8*'Unit Economics'!$C$6*(1-Assumptions!$C$25)</f>
        <v/>
      </c>
      <c r="H14" s="11">
        <f>H8*'Unit Economics'!$C$5*Assumptions!$C$25+H8*'Unit Economics'!$C$6*(1-Assumptions!$C$25)</f>
        <v/>
      </c>
      <c r="I14" s="11">
        <f>I8*'Unit Economics'!$C$5*Assumptions!$C$25+I8*'Unit Economics'!$C$6*(1-Assumptions!$C$25)</f>
        <v/>
      </c>
      <c r="J14" s="11">
        <f>J8*'Unit Economics'!$C$5*Assumptions!$C$25+J8*'Unit Economics'!$C$6*(1-Assumptions!$C$25)</f>
        <v/>
      </c>
      <c r="K14" s="11">
        <f>K8*'Unit Economics'!$C$5*Assumptions!$C$25+K8*'Unit Economics'!$C$6*(1-Assumptions!$C$25)</f>
        <v/>
      </c>
      <c r="L14" s="11">
        <f>L8*'Unit Economics'!$C$5*Assumptions!$C$25+L8*'Unit Economics'!$C$6*(1-Assumptions!$C$25)</f>
        <v/>
      </c>
      <c r="M14" s="11">
        <f>M8*'Unit Economics'!$C$5*Assumptions!$C$25+M8*'Unit Economics'!$C$6*(1-Assumptions!$C$25)</f>
        <v/>
      </c>
      <c r="N14" s="11">
        <f>N8*'Unit Economics'!$C$5*Assumptions!$C$25+N8*'Unit Economics'!$C$6*(1-Assumptions!$C$25)</f>
        <v/>
      </c>
      <c r="O14" s="11">
        <f>O8*'Unit Economics'!$C$5*Assumptions!$C$25+O8*'Unit Economics'!$C$6*(1-Assumptions!$C$25)</f>
        <v/>
      </c>
      <c r="P14" s="11">
        <f>P8*'Unit Economics'!$C$5*Assumptions!$C$25+P8*'Unit Economics'!$C$6*(1-Assumptions!$C$25)</f>
        <v/>
      </c>
      <c r="Q14" s="11">
        <f>Q8*'Unit Economics'!$C$5*Assumptions!$C$25+Q8*'Unit Economics'!$C$6*(1-Assumptions!$C$25)</f>
        <v/>
      </c>
      <c r="R14" s="11">
        <f>R8*'Unit Economics'!$C$5*Assumptions!$C$25+R8*'Unit Economics'!$C$6*(1-Assumptions!$C$25)</f>
        <v/>
      </c>
      <c r="S14" s="11">
        <f>S8*'Unit Economics'!$C$5*Assumptions!$C$25+S8*'Unit Economics'!$C$6*(1-Assumptions!$C$25)</f>
        <v/>
      </c>
      <c r="T14" s="11">
        <f>T8*'Unit Economics'!$C$5*Assumptions!$C$25+T8*'Unit Economics'!$C$6*(1-Assumptions!$C$25)</f>
        <v/>
      </c>
      <c r="U14" s="11">
        <f>U8*'Unit Economics'!$C$5*Assumptions!$C$25+U8*'Unit Economics'!$C$6*(1-Assumptions!$C$25)</f>
        <v/>
      </c>
      <c r="V14" s="11">
        <f>V8*'Unit Economics'!$C$5*Assumptions!$C$25+V8*'Unit Economics'!$C$6*(1-Assumptions!$C$25)</f>
        <v/>
      </c>
      <c r="W14" s="11">
        <f>W8*'Unit Economics'!$C$5*Assumptions!$C$25+W8*'Unit Economics'!$C$6*(1-Assumptions!$C$25)</f>
        <v/>
      </c>
      <c r="X14" s="11">
        <f>X8*'Unit Economics'!$C$5*Assumptions!$C$25+X8*'Unit Economics'!$C$6*(1-Assumptions!$C$25)</f>
        <v/>
      </c>
      <c r="Y14" s="11">
        <f>Y8*'Unit Economics'!$C$5*Assumptions!$C$25+Y8*'Unit Economics'!$C$6*(1-Assumptions!$C$25)</f>
        <v/>
      </c>
      <c r="Z14" s="11">
        <f>Z8*'Unit Economics'!$C$5*Assumptions!$C$25+Z8*'Unit Economics'!$C$6*(1-Assumptions!$C$25)</f>
        <v/>
      </c>
      <c r="AA14" s="11">
        <f>AA8*'Unit Economics'!$C$5*Assumptions!$C$25+AA8*'Unit Economics'!$C$6*(1-Assumptions!$C$25)</f>
        <v/>
      </c>
      <c r="AB14" s="11">
        <f>AB8*'Unit Economics'!$C$5*Assumptions!$C$25+AB8*'Unit Economics'!$C$6*(1-Assumptions!$C$25)</f>
        <v/>
      </c>
      <c r="AC14" s="11">
        <f>AC8*'Unit Economics'!$C$5*Assumptions!$C$25+AC8*'Unit Economics'!$C$6*(1-Assumptions!$C$25)</f>
        <v/>
      </c>
      <c r="AD14" s="11">
        <f>AD8*'Unit Economics'!$C$5*Assumptions!$C$25+AD8*'Unit Economics'!$C$6*(1-Assumptions!$C$25)</f>
        <v/>
      </c>
      <c r="AE14" s="11">
        <f>AE8*'Unit Economics'!$C$5*Assumptions!$C$25+AE8*'Unit Economics'!$C$6*(1-Assumptions!$C$25)</f>
        <v/>
      </c>
      <c r="AF14" s="11">
        <f>AF8*'Unit Economics'!$C$5*Assumptions!$C$25+AF8*'Unit Economics'!$C$6*(1-Assumptions!$C$25)</f>
        <v/>
      </c>
      <c r="AG14" s="11">
        <f>AG8*'Unit Economics'!$C$5*Assumptions!$C$25+AG8*'Unit Economics'!$C$6*(1-Assumptions!$C$25)</f>
        <v/>
      </c>
      <c r="AH14" s="11">
        <f>AH8*'Unit Economics'!$C$5*Assumptions!$C$25+AH8*'Unit Economics'!$C$6*(1-Assumptions!$C$25)</f>
        <v/>
      </c>
      <c r="AI14" s="11">
        <f>AI8*'Unit Economics'!$C$5*Assumptions!$C$25+AI8*'Unit Economics'!$C$6*(1-Assumptions!$C$25)</f>
        <v/>
      </c>
      <c r="AJ14" s="11">
        <f>AJ8*'Unit Economics'!$C$5*Assumptions!$C$25+AJ8*'Unit Economics'!$C$6*(1-Assumptions!$C$25)</f>
        <v/>
      </c>
      <c r="AK14" s="11">
        <f>AK8*'Unit Economics'!$C$5*Assumptions!$C$25+AK8*'Unit Economics'!$C$6*(1-Assumptions!$C$25)</f>
        <v/>
      </c>
      <c r="AL14" s="11">
        <f>AL8*'Unit Economics'!$C$5*Assumptions!$C$25+AL8*'Unit Economics'!$C$6*(1-Assumptions!$C$25)</f>
        <v/>
      </c>
    </row>
    <row r="15">
      <c r="B15" s="3" t="inlineStr">
        <is>
          <t>Retail — insurer-referred</t>
        </is>
      </c>
      <c r="C15" s="11">
        <f>C7*'Unit Economics'!$C$7</f>
        <v/>
      </c>
      <c r="D15" s="11">
        <f>D7*'Unit Economics'!$C$7</f>
        <v/>
      </c>
      <c r="E15" s="11">
        <f>E7*'Unit Economics'!$C$7</f>
        <v/>
      </c>
      <c r="F15" s="11">
        <f>F7*'Unit Economics'!$C$7</f>
        <v/>
      </c>
      <c r="G15" s="11">
        <f>G7*'Unit Economics'!$C$7</f>
        <v/>
      </c>
      <c r="H15" s="11">
        <f>H7*'Unit Economics'!$C$7</f>
        <v/>
      </c>
      <c r="I15" s="11">
        <f>I7*'Unit Economics'!$C$7</f>
        <v/>
      </c>
      <c r="J15" s="11">
        <f>J7*'Unit Economics'!$C$7</f>
        <v/>
      </c>
      <c r="K15" s="11">
        <f>K7*'Unit Economics'!$C$7</f>
        <v/>
      </c>
      <c r="L15" s="11">
        <f>L7*'Unit Economics'!$C$7</f>
        <v/>
      </c>
      <c r="M15" s="11">
        <f>M7*'Unit Economics'!$C$7</f>
        <v/>
      </c>
      <c r="N15" s="11">
        <f>N7*'Unit Economics'!$C$7</f>
        <v/>
      </c>
      <c r="O15" s="11">
        <f>O7*'Unit Economics'!$C$7</f>
        <v/>
      </c>
      <c r="P15" s="11">
        <f>P7*'Unit Economics'!$C$7</f>
        <v/>
      </c>
      <c r="Q15" s="11">
        <f>Q7*'Unit Economics'!$C$7</f>
        <v/>
      </c>
      <c r="R15" s="11">
        <f>R7*'Unit Economics'!$C$7</f>
        <v/>
      </c>
      <c r="S15" s="11">
        <f>S7*'Unit Economics'!$C$7</f>
        <v/>
      </c>
      <c r="T15" s="11">
        <f>T7*'Unit Economics'!$C$7</f>
        <v/>
      </c>
      <c r="U15" s="11">
        <f>U7*'Unit Economics'!$C$7</f>
        <v/>
      </c>
      <c r="V15" s="11">
        <f>V7*'Unit Economics'!$C$7</f>
        <v/>
      </c>
      <c r="W15" s="11">
        <f>W7*'Unit Economics'!$C$7</f>
        <v/>
      </c>
      <c r="X15" s="11">
        <f>X7*'Unit Economics'!$C$7</f>
        <v/>
      </c>
      <c r="Y15" s="11">
        <f>Y7*'Unit Economics'!$C$7</f>
        <v/>
      </c>
      <c r="Z15" s="11">
        <f>Z7*'Unit Economics'!$C$7</f>
        <v/>
      </c>
      <c r="AA15" s="11">
        <f>AA7*'Unit Economics'!$C$7</f>
        <v/>
      </c>
      <c r="AB15" s="11">
        <f>AB7*'Unit Economics'!$C$7</f>
        <v/>
      </c>
      <c r="AC15" s="11">
        <f>AC7*'Unit Economics'!$C$7</f>
        <v/>
      </c>
      <c r="AD15" s="11">
        <f>AD7*'Unit Economics'!$C$7</f>
        <v/>
      </c>
      <c r="AE15" s="11">
        <f>AE7*'Unit Economics'!$C$7</f>
        <v/>
      </c>
      <c r="AF15" s="11">
        <f>AF7*'Unit Economics'!$C$7</f>
        <v/>
      </c>
      <c r="AG15" s="11">
        <f>AG7*'Unit Economics'!$C$7</f>
        <v/>
      </c>
      <c r="AH15" s="11">
        <f>AH7*'Unit Economics'!$C$7</f>
        <v/>
      </c>
      <c r="AI15" s="11">
        <f>AI7*'Unit Economics'!$C$7</f>
        <v/>
      </c>
      <c r="AJ15" s="11">
        <f>AJ7*'Unit Economics'!$C$7</f>
        <v/>
      </c>
      <c r="AK15" s="11">
        <f>AK7*'Unit Economics'!$C$7</f>
        <v/>
      </c>
      <c r="AL15" s="11">
        <f>AL7*'Unit Economics'!$C$7</f>
        <v/>
      </c>
    </row>
    <row r="16">
      <c r="B16" s="3" t="inlineStr">
        <is>
          <t>Insurer subscriptions</t>
        </is>
      </c>
      <c r="C16" s="11">
        <f>C9*Assumptions!$C$17/12</f>
        <v/>
      </c>
      <c r="D16" s="11">
        <f>D9*Assumptions!$C$17/12</f>
        <v/>
      </c>
      <c r="E16" s="11">
        <f>E9*Assumptions!$C$17/12</f>
        <v/>
      </c>
      <c r="F16" s="11">
        <f>F9*Assumptions!$C$17/12</f>
        <v/>
      </c>
      <c r="G16" s="11">
        <f>G9*Assumptions!$C$17/12</f>
        <v/>
      </c>
      <c r="H16" s="11">
        <f>H9*Assumptions!$C$17/12</f>
        <v/>
      </c>
      <c r="I16" s="11">
        <f>I9*Assumptions!$C$17/12</f>
        <v/>
      </c>
      <c r="J16" s="11">
        <f>J9*Assumptions!$C$17/12</f>
        <v/>
      </c>
      <c r="K16" s="11">
        <f>K9*Assumptions!$C$17/12</f>
        <v/>
      </c>
      <c r="L16" s="11">
        <f>L9*Assumptions!$C$17/12</f>
        <v/>
      </c>
      <c r="M16" s="11">
        <f>M9*Assumptions!$C$17/12</f>
        <v/>
      </c>
      <c r="N16" s="11">
        <f>N9*Assumptions!$C$17/12</f>
        <v/>
      </c>
      <c r="O16" s="11">
        <f>O9*Assumptions!$C$17/12</f>
        <v/>
      </c>
      <c r="P16" s="11">
        <f>P9*Assumptions!$C$17/12</f>
        <v/>
      </c>
      <c r="Q16" s="11">
        <f>Q9*Assumptions!$C$17/12</f>
        <v/>
      </c>
      <c r="R16" s="11">
        <f>R9*Assumptions!$C$17/12</f>
        <v/>
      </c>
      <c r="S16" s="11">
        <f>S9*Assumptions!$C$17/12</f>
        <v/>
      </c>
      <c r="T16" s="11">
        <f>T9*Assumptions!$C$17/12</f>
        <v/>
      </c>
      <c r="U16" s="11">
        <f>U9*Assumptions!$C$17/12</f>
        <v/>
      </c>
      <c r="V16" s="11">
        <f>V9*Assumptions!$C$17/12</f>
        <v/>
      </c>
      <c r="W16" s="11">
        <f>W9*Assumptions!$C$17/12</f>
        <v/>
      </c>
      <c r="X16" s="11">
        <f>X9*Assumptions!$C$17/12</f>
        <v/>
      </c>
      <c r="Y16" s="11">
        <f>Y9*Assumptions!$C$17/12</f>
        <v/>
      </c>
      <c r="Z16" s="11">
        <f>Z9*Assumptions!$C$17/12</f>
        <v/>
      </c>
      <c r="AA16" s="11">
        <f>AA9*Assumptions!$C$17/12</f>
        <v/>
      </c>
      <c r="AB16" s="11">
        <f>AB9*Assumptions!$C$17/12</f>
        <v/>
      </c>
      <c r="AC16" s="11">
        <f>AC9*Assumptions!$C$17/12</f>
        <v/>
      </c>
      <c r="AD16" s="11">
        <f>AD9*Assumptions!$C$17/12</f>
        <v/>
      </c>
      <c r="AE16" s="11">
        <f>AE9*Assumptions!$C$17/12</f>
        <v/>
      </c>
      <c r="AF16" s="11">
        <f>AF9*Assumptions!$C$17/12</f>
        <v/>
      </c>
      <c r="AG16" s="11">
        <f>AG9*Assumptions!$C$17/12</f>
        <v/>
      </c>
      <c r="AH16" s="11">
        <f>AH9*Assumptions!$C$17/12</f>
        <v/>
      </c>
      <c r="AI16" s="11">
        <f>AI9*Assumptions!$C$17/12</f>
        <v/>
      </c>
      <c r="AJ16" s="11">
        <f>AJ9*Assumptions!$C$17/12</f>
        <v/>
      </c>
      <c r="AK16" s="11">
        <f>AK9*Assumptions!$C$17/12</f>
        <v/>
      </c>
      <c r="AL16" s="11">
        <f>AL9*Assumptions!$C$17/12</f>
        <v/>
      </c>
    </row>
    <row r="17">
      <c r="B17" s="3" t="inlineStr">
        <is>
          <t>Batched settlement days</t>
        </is>
      </c>
      <c r="C17" s="11">
        <f>C10*'Unit Economics'!$C$8</f>
        <v/>
      </c>
      <c r="D17" s="11">
        <f>D10*'Unit Economics'!$C$8</f>
        <v/>
      </c>
      <c r="E17" s="11">
        <f>E10*'Unit Economics'!$C$8</f>
        <v/>
      </c>
      <c r="F17" s="11">
        <f>F10*'Unit Economics'!$C$8</f>
        <v/>
      </c>
      <c r="G17" s="11">
        <f>G10*'Unit Economics'!$C$8</f>
        <v/>
      </c>
      <c r="H17" s="11">
        <f>H10*'Unit Economics'!$C$8</f>
        <v/>
      </c>
      <c r="I17" s="11">
        <f>I10*'Unit Economics'!$C$8</f>
        <v/>
      </c>
      <c r="J17" s="11">
        <f>J10*'Unit Economics'!$C$8</f>
        <v/>
      </c>
      <c r="K17" s="11">
        <f>K10*'Unit Economics'!$C$8</f>
        <v/>
      </c>
      <c r="L17" s="11">
        <f>L10*'Unit Economics'!$C$8</f>
        <v/>
      </c>
      <c r="M17" s="11">
        <f>M10*'Unit Economics'!$C$8</f>
        <v/>
      </c>
      <c r="N17" s="11">
        <f>N10*'Unit Economics'!$C$8</f>
        <v/>
      </c>
      <c r="O17" s="11">
        <f>O10*'Unit Economics'!$C$8</f>
        <v/>
      </c>
      <c r="P17" s="11">
        <f>P10*'Unit Economics'!$C$8</f>
        <v/>
      </c>
      <c r="Q17" s="11">
        <f>Q10*'Unit Economics'!$C$8</f>
        <v/>
      </c>
      <c r="R17" s="11">
        <f>R10*'Unit Economics'!$C$8</f>
        <v/>
      </c>
      <c r="S17" s="11">
        <f>S10*'Unit Economics'!$C$8</f>
        <v/>
      </c>
      <c r="T17" s="11">
        <f>T10*'Unit Economics'!$C$8</f>
        <v/>
      </c>
      <c r="U17" s="11">
        <f>U10*'Unit Economics'!$C$8</f>
        <v/>
      </c>
      <c r="V17" s="11">
        <f>V10*'Unit Economics'!$C$8</f>
        <v/>
      </c>
      <c r="W17" s="11">
        <f>W10*'Unit Economics'!$C$8</f>
        <v/>
      </c>
      <c r="X17" s="11">
        <f>X10*'Unit Economics'!$C$8</f>
        <v/>
      </c>
      <c r="Y17" s="11">
        <f>Y10*'Unit Economics'!$C$8</f>
        <v/>
      </c>
      <c r="Z17" s="11">
        <f>Z10*'Unit Economics'!$C$8</f>
        <v/>
      </c>
      <c r="AA17" s="11">
        <f>AA10*'Unit Economics'!$C$8</f>
        <v/>
      </c>
      <c r="AB17" s="11">
        <f>AB10*'Unit Economics'!$C$8</f>
        <v/>
      </c>
      <c r="AC17" s="11">
        <f>AC10*'Unit Economics'!$C$8</f>
        <v/>
      </c>
      <c r="AD17" s="11">
        <f>AD10*'Unit Economics'!$C$8</f>
        <v/>
      </c>
      <c r="AE17" s="11">
        <f>AE10*'Unit Economics'!$C$8</f>
        <v/>
      </c>
      <c r="AF17" s="11">
        <f>AF10*'Unit Economics'!$C$8</f>
        <v/>
      </c>
      <c r="AG17" s="11">
        <f>AG10*'Unit Economics'!$C$8</f>
        <v/>
      </c>
      <c r="AH17" s="11">
        <f>AH10*'Unit Economics'!$C$8</f>
        <v/>
      </c>
      <c r="AI17" s="11">
        <f>AI10*'Unit Economics'!$C$8</f>
        <v/>
      </c>
      <c r="AJ17" s="11">
        <f>AJ10*'Unit Economics'!$C$8</f>
        <v/>
      </c>
      <c r="AK17" s="11">
        <f>AK10*'Unit Economics'!$C$8</f>
        <v/>
      </c>
      <c r="AL17" s="11">
        <f>AL10*'Unit Economics'!$C$8</f>
        <v/>
      </c>
    </row>
    <row r="18">
      <c r="B18" s="3" t="inlineStr">
        <is>
          <t>Commercial</t>
        </is>
      </c>
      <c r="C18" s="11">
        <f>C11*'Unit Economics'!$C$10</f>
        <v/>
      </c>
      <c r="D18" s="11">
        <f>D11*'Unit Economics'!$C$10</f>
        <v/>
      </c>
      <c r="E18" s="11">
        <f>E11*'Unit Economics'!$C$10</f>
        <v/>
      </c>
      <c r="F18" s="11">
        <f>F11*'Unit Economics'!$C$10</f>
        <v/>
      </c>
      <c r="G18" s="11">
        <f>G11*'Unit Economics'!$C$10</f>
        <v/>
      </c>
      <c r="H18" s="11">
        <f>H11*'Unit Economics'!$C$10</f>
        <v/>
      </c>
      <c r="I18" s="11">
        <f>I11*'Unit Economics'!$C$10</f>
        <v/>
      </c>
      <c r="J18" s="11">
        <f>J11*'Unit Economics'!$C$10</f>
        <v/>
      </c>
      <c r="K18" s="11">
        <f>K11*'Unit Economics'!$C$10</f>
        <v/>
      </c>
      <c r="L18" s="11">
        <f>L11*'Unit Economics'!$C$10</f>
        <v/>
      </c>
      <c r="M18" s="11">
        <f>M11*'Unit Economics'!$C$10</f>
        <v/>
      </c>
      <c r="N18" s="11">
        <f>N11*'Unit Economics'!$C$10</f>
        <v/>
      </c>
      <c r="O18" s="11">
        <f>O11*'Unit Economics'!$C$10</f>
        <v/>
      </c>
      <c r="P18" s="11">
        <f>P11*'Unit Economics'!$C$10</f>
        <v/>
      </c>
      <c r="Q18" s="11">
        <f>Q11*'Unit Economics'!$C$10</f>
        <v/>
      </c>
      <c r="R18" s="11">
        <f>R11*'Unit Economics'!$C$10</f>
        <v/>
      </c>
      <c r="S18" s="11">
        <f>S11*'Unit Economics'!$C$10</f>
        <v/>
      </c>
      <c r="T18" s="11">
        <f>T11*'Unit Economics'!$C$10</f>
        <v/>
      </c>
      <c r="U18" s="11">
        <f>U11*'Unit Economics'!$C$10</f>
        <v/>
      </c>
      <c r="V18" s="11">
        <f>V11*'Unit Economics'!$C$10</f>
        <v/>
      </c>
      <c r="W18" s="11">
        <f>W11*'Unit Economics'!$C$10</f>
        <v/>
      </c>
      <c r="X18" s="11">
        <f>X11*'Unit Economics'!$C$10</f>
        <v/>
      </c>
      <c r="Y18" s="11">
        <f>Y11*'Unit Economics'!$C$10</f>
        <v/>
      </c>
      <c r="Z18" s="11">
        <f>Z11*'Unit Economics'!$C$10</f>
        <v/>
      </c>
      <c r="AA18" s="11">
        <f>AA11*'Unit Economics'!$C$10</f>
        <v/>
      </c>
      <c r="AB18" s="11">
        <f>AB11*'Unit Economics'!$C$10</f>
        <v/>
      </c>
      <c r="AC18" s="11">
        <f>AC11*'Unit Economics'!$C$10</f>
        <v/>
      </c>
      <c r="AD18" s="11">
        <f>AD11*'Unit Economics'!$C$10</f>
        <v/>
      </c>
      <c r="AE18" s="11">
        <f>AE11*'Unit Economics'!$C$10</f>
        <v/>
      </c>
      <c r="AF18" s="11">
        <f>AF11*'Unit Economics'!$C$10</f>
        <v/>
      </c>
      <c r="AG18" s="11">
        <f>AG11*'Unit Economics'!$C$10</f>
        <v/>
      </c>
      <c r="AH18" s="11">
        <f>AH11*'Unit Economics'!$C$10</f>
        <v/>
      </c>
      <c r="AI18" s="11">
        <f>AI11*'Unit Economics'!$C$10</f>
        <v/>
      </c>
      <c r="AJ18" s="11">
        <f>AJ11*'Unit Economics'!$C$10</f>
        <v/>
      </c>
      <c r="AK18" s="11">
        <f>AK11*'Unit Economics'!$C$10</f>
        <v/>
      </c>
      <c r="AL18" s="11">
        <f>AL11*'Unit Economics'!$C$10</f>
        <v/>
      </c>
    </row>
    <row r="19">
      <c r="B19" s="4" t="inlineStr">
        <is>
          <t>Total revenue</t>
        </is>
      </c>
      <c r="C19" s="12">
        <f>SUM(C14:C18)</f>
        <v/>
      </c>
      <c r="D19" s="12">
        <f>SUM(D14:D18)</f>
        <v/>
      </c>
      <c r="E19" s="12">
        <f>SUM(E14:E18)</f>
        <v/>
      </c>
      <c r="F19" s="12">
        <f>SUM(F14:F18)</f>
        <v/>
      </c>
      <c r="G19" s="12">
        <f>SUM(G14:G18)</f>
        <v/>
      </c>
      <c r="H19" s="12">
        <f>SUM(H14:H18)</f>
        <v/>
      </c>
      <c r="I19" s="12">
        <f>SUM(I14:I18)</f>
        <v/>
      </c>
      <c r="J19" s="12">
        <f>SUM(J14:J18)</f>
        <v/>
      </c>
      <c r="K19" s="12">
        <f>SUM(K14:K18)</f>
        <v/>
      </c>
      <c r="L19" s="12">
        <f>SUM(L14:L18)</f>
        <v/>
      </c>
      <c r="M19" s="12">
        <f>SUM(M14:M18)</f>
        <v/>
      </c>
      <c r="N19" s="12">
        <f>SUM(N14:N18)</f>
        <v/>
      </c>
      <c r="O19" s="12">
        <f>SUM(O14:O18)</f>
        <v/>
      </c>
      <c r="P19" s="12">
        <f>SUM(P14:P18)</f>
        <v/>
      </c>
      <c r="Q19" s="12">
        <f>SUM(Q14:Q18)</f>
        <v/>
      </c>
      <c r="R19" s="12">
        <f>SUM(R14:R18)</f>
        <v/>
      </c>
      <c r="S19" s="12">
        <f>SUM(S14:S18)</f>
        <v/>
      </c>
      <c r="T19" s="12">
        <f>SUM(T14:T18)</f>
        <v/>
      </c>
      <c r="U19" s="12">
        <f>SUM(U14:U18)</f>
        <v/>
      </c>
      <c r="V19" s="12">
        <f>SUM(V14:V18)</f>
        <v/>
      </c>
      <c r="W19" s="12">
        <f>SUM(W14:W18)</f>
        <v/>
      </c>
      <c r="X19" s="12">
        <f>SUM(X14:X18)</f>
        <v/>
      </c>
      <c r="Y19" s="12">
        <f>SUM(Y14:Y18)</f>
        <v/>
      </c>
      <c r="Z19" s="12">
        <f>SUM(Z14:Z18)</f>
        <v/>
      </c>
      <c r="AA19" s="12">
        <f>SUM(AA14:AA18)</f>
        <v/>
      </c>
      <c r="AB19" s="12">
        <f>SUM(AB14:AB18)</f>
        <v/>
      </c>
      <c r="AC19" s="12">
        <f>SUM(AC14:AC18)</f>
        <v/>
      </c>
      <c r="AD19" s="12">
        <f>SUM(AD14:AD18)</f>
        <v/>
      </c>
      <c r="AE19" s="12">
        <f>SUM(AE14:AE18)</f>
        <v/>
      </c>
      <c r="AF19" s="12">
        <f>SUM(AF14:AF18)</f>
        <v/>
      </c>
      <c r="AG19" s="12">
        <f>SUM(AG14:AG18)</f>
        <v/>
      </c>
      <c r="AH19" s="12">
        <f>SUM(AH14:AH18)</f>
        <v/>
      </c>
      <c r="AI19" s="12">
        <f>SUM(AI14:AI18)</f>
        <v/>
      </c>
      <c r="AJ19" s="12">
        <f>SUM(AJ14:AJ18)</f>
        <v/>
      </c>
      <c r="AK19" s="12">
        <f>SUM(AK14:AK18)</f>
        <v/>
      </c>
      <c r="AL19" s="12">
        <f>SUM(AL14:AL18)</f>
        <v/>
      </c>
    </row>
    <row r="20">
      <c r="B20" s="3" t="inlineStr"/>
    </row>
    <row r="21">
      <c r="B21" s="5" t="inlineStr">
        <is>
          <t>DIRECT COSTS</t>
        </is>
      </c>
    </row>
    <row r="22">
      <c r="B22" s="3" t="inlineStr">
        <is>
          <t>Retail — case management &amp; neutrals</t>
        </is>
      </c>
      <c r="C22" s="11">
        <f>C8*'Unit Economics'!$D$5*Assumptions!$C$25+C8*'Unit Economics'!$D$6*(1-Assumptions!$C$25)+C7*'Unit Economics'!$D$7</f>
        <v/>
      </c>
      <c r="D22" s="11">
        <f>D8*'Unit Economics'!$D$5*Assumptions!$C$25+D8*'Unit Economics'!$D$6*(1-Assumptions!$C$25)+D7*'Unit Economics'!$D$7</f>
        <v/>
      </c>
      <c r="E22" s="11">
        <f>E8*'Unit Economics'!$D$5*Assumptions!$C$25+E8*'Unit Economics'!$D$6*(1-Assumptions!$C$25)+E7*'Unit Economics'!$D$7</f>
        <v/>
      </c>
      <c r="F22" s="11">
        <f>F8*'Unit Economics'!$D$5*Assumptions!$C$25+F8*'Unit Economics'!$D$6*(1-Assumptions!$C$25)+F7*'Unit Economics'!$D$7</f>
        <v/>
      </c>
      <c r="G22" s="11">
        <f>G8*'Unit Economics'!$D$5*Assumptions!$C$25+G8*'Unit Economics'!$D$6*(1-Assumptions!$C$25)+G7*'Unit Economics'!$D$7</f>
        <v/>
      </c>
      <c r="H22" s="11">
        <f>H8*'Unit Economics'!$D$5*Assumptions!$C$25+H8*'Unit Economics'!$D$6*(1-Assumptions!$C$25)+H7*'Unit Economics'!$D$7</f>
        <v/>
      </c>
      <c r="I22" s="11">
        <f>I8*'Unit Economics'!$D$5*Assumptions!$C$25+I8*'Unit Economics'!$D$6*(1-Assumptions!$C$25)+I7*'Unit Economics'!$D$7</f>
        <v/>
      </c>
      <c r="J22" s="11">
        <f>J8*'Unit Economics'!$D$5*Assumptions!$C$25+J8*'Unit Economics'!$D$6*(1-Assumptions!$C$25)+J7*'Unit Economics'!$D$7</f>
        <v/>
      </c>
      <c r="K22" s="11">
        <f>K8*'Unit Economics'!$D$5*Assumptions!$C$25+K8*'Unit Economics'!$D$6*(1-Assumptions!$C$25)+K7*'Unit Economics'!$D$7</f>
        <v/>
      </c>
      <c r="L22" s="11">
        <f>L8*'Unit Economics'!$D$5*Assumptions!$C$25+L8*'Unit Economics'!$D$6*(1-Assumptions!$C$25)+L7*'Unit Economics'!$D$7</f>
        <v/>
      </c>
      <c r="M22" s="11">
        <f>M8*'Unit Economics'!$D$5*Assumptions!$C$25+M8*'Unit Economics'!$D$6*(1-Assumptions!$C$25)+M7*'Unit Economics'!$D$7</f>
        <v/>
      </c>
      <c r="N22" s="11">
        <f>N8*'Unit Economics'!$D$5*Assumptions!$C$25+N8*'Unit Economics'!$D$6*(1-Assumptions!$C$25)+N7*'Unit Economics'!$D$7</f>
        <v/>
      </c>
      <c r="O22" s="11">
        <f>O8*'Unit Economics'!$D$5*Assumptions!$C$25+O8*'Unit Economics'!$D$6*(1-Assumptions!$C$25)+O7*'Unit Economics'!$D$7</f>
        <v/>
      </c>
      <c r="P22" s="11">
        <f>P8*'Unit Economics'!$D$5*Assumptions!$C$25+P8*'Unit Economics'!$D$6*(1-Assumptions!$C$25)+P7*'Unit Economics'!$D$7</f>
        <v/>
      </c>
      <c r="Q22" s="11">
        <f>Q8*'Unit Economics'!$D$5*Assumptions!$C$25+Q8*'Unit Economics'!$D$6*(1-Assumptions!$C$25)+Q7*'Unit Economics'!$D$7</f>
        <v/>
      </c>
      <c r="R22" s="11">
        <f>R8*'Unit Economics'!$D$5*Assumptions!$C$25+R8*'Unit Economics'!$D$6*(1-Assumptions!$C$25)+R7*'Unit Economics'!$D$7</f>
        <v/>
      </c>
      <c r="S22" s="11">
        <f>S8*'Unit Economics'!$D$5*Assumptions!$C$25+S8*'Unit Economics'!$D$6*(1-Assumptions!$C$25)+S7*'Unit Economics'!$D$7</f>
        <v/>
      </c>
      <c r="T22" s="11">
        <f>T8*'Unit Economics'!$D$5*Assumptions!$C$25+T8*'Unit Economics'!$D$6*(1-Assumptions!$C$25)+T7*'Unit Economics'!$D$7</f>
        <v/>
      </c>
      <c r="U22" s="11">
        <f>U8*'Unit Economics'!$D$5*Assumptions!$C$25+U8*'Unit Economics'!$D$6*(1-Assumptions!$C$25)+U7*'Unit Economics'!$D$7</f>
        <v/>
      </c>
      <c r="V22" s="11">
        <f>V8*'Unit Economics'!$D$5*Assumptions!$C$25+V8*'Unit Economics'!$D$6*(1-Assumptions!$C$25)+V7*'Unit Economics'!$D$7</f>
        <v/>
      </c>
      <c r="W22" s="11">
        <f>W8*'Unit Economics'!$D$5*Assumptions!$C$25+W8*'Unit Economics'!$D$6*(1-Assumptions!$C$25)+W7*'Unit Economics'!$D$7</f>
        <v/>
      </c>
      <c r="X22" s="11">
        <f>X8*'Unit Economics'!$D$5*Assumptions!$C$25+X8*'Unit Economics'!$D$6*(1-Assumptions!$C$25)+X7*'Unit Economics'!$D$7</f>
        <v/>
      </c>
      <c r="Y22" s="11">
        <f>Y8*'Unit Economics'!$D$5*Assumptions!$C$25+Y8*'Unit Economics'!$D$6*(1-Assumptions!$C$25)+Y7*'Unit Economics'!$D$7</f>
        <v/>
      </c>
      <c r="Z22" s="11">
        <f>Z8*'Unit Economics'!$D$5*Assumptions!$C$25+Z8*'Unit Economics'!$D$6*(1-Assumptions!$C$25)+Z7*'Unit Economics'!$D$7</f>
        <v/>
      </c>
      <c r="AA22" s="11">
        <f>AA8*'Unit Economics'!$D$5*Assumptions!$C$25+AA8*'Unit Economics'!$D$6*(1-Assumptions!$C$25)+AA7*'Unit Economics'!$D$7</f>
        <v/>
      </c>
      <c r="AB22" s="11">
        <f>AB8*'Unit Economics'!$D$5*Assumptions!$C$25+AB8*'Unit Economics'!$D$6*(1-Assumptions!$C$25)+AB7*'Unit Economics'!$D$7</f>
        <v/>
      </c>
      <c r="AC22" s="11">
        <f>AC8*'Unit Economics'!$D$5*Assumptions!$C$25+AC8*'Unit Economics'!$D$6*(1-Assumptions!$C$25)+AC7*'Unit Economics'!$D$7</f>
        <v/>
      </c>
      <c r="AD22" s="11">
        <f>AD8*'Unit Economics'!$D$5*Assumptions!$C$25+AD8*'Unit Economics'!$D$6*(1-Assumptions!$C$25)+AD7*'Unit Economics'!$D$7</f>
        <v/>
      </c>
      <c r="AE22" s="11">
        <f>AE8*'Unit Economics'!$D$5*Assumptions!$C$25+AE8*'Unit Economics'!$D$6*(1-Assumptions!$C$25)+AE7*'Unit Economics'!$D$7</f>
        <v/>
      </c>
      <c r="AF22" s="11">
        <f>AF8*'Unit Economics'!$D$5*Assumptions!$C$25+AF8*'Unit Economics'!$D$6*(1-Assumptions!$C$25)+AF7*'Unit Economics'!$D$7</f>
        <v/>
      </c>
      <c r="AG22" s="11">
        <f>AG8*'Unit Economics'!$D$5*Assumptions!$C$25+AG8*'Unit Economics'!$D$6*(1-Assumptions!$C$25)+AG7*'Unit Economics'!$D$7</f>
        <v/>
      </c>
      <c r="AH22" s="11">
        <f>AH8*'Unit Economics'!$D$5*Assumptions!$C$25+AH8*'Unit Economics'!$D$6*(1-Assumptions!$C$25)+AH7*'Unit Economics'!$D$7</f>
        <v/>
      </c>
      <c r="AI22" s="11">
        <f>AI8*'Unit Economics'!$D$5*Assumptions!$C$25+AI8*'Unit Economics'!$D$6*(1-Assumptions!$C$25)+AI7*'Unit Economics'!$D$7</f>
        <v/>
      </c>
      <c r="AJ22" s="11">
        <f>AJ8*'Unit Economics'!$D$5*Assumptions!$C$25+AJ8*'Unit Economics'!$D$6*(1-Assumptions!$C$25)+AJ7*'Unit Economics'!$D$7</f>
        <v/>
      </c>
      <c r="AK22" s="11">
        <f>AK8*'Unit Economics'!$D$5*Assumptions!$C$25+AK8*'Unit Economics'!$D$6*(1-Assumptions!$C$25)+AK7*'Unit Economics'!$D$7</f>
        <v/>
      </c>
      <c r="AL22" s="11">
        <f>AL8*'Unit Economics'!$D$5*Assumptions!$C$25+AL8*'Unit Economics'!$D$6*(1-Assumptions!$C$25)+AL7*'Unit Economics'!$D$7</f>
        <v/>
      </c>
    </row>
    <row r="23">
      <c r="B23" s="3" t="inlineStr">
        <is>
          <t>Batched days</t>
        </is>
      </c>
      <c r="C23" s="11">
        <f>C10*'Unit Economics'!$D$8</f>
        <v/>
      </c>
      <c r="D23" s="11">
        <f>D10*'Unit Economics'!$D$8</f>
        <v/>
      </c>
      <c r="E23" s="11">
        <f>E10*'Unit Economics'!$D$8</f>
        <v/>
      </c>
      <c r="F23" s="11">
        <f>F10*'Unit Economics'!$D$8</f>
        <v/>
      </c>
      <c r="G23" s="11">
        <f>G10*'Unit Economics'!$D$8</f>
        <v/>
      </c>
      <c r="H23" s="11">
        <f>H10*'Unit Economics'!$D$8</f>
        <v/>
      </c>
      <c r="I23" s="11">
        <f>I10*'Unit Economics'!$D$8</f>
        <v/>
      </c>
      <c r="J23" s="11">
        <f>J10*'Unit Economics'!$D$8</f>
        <v/>
      </c>
      <c r="K23" s="11">
        <f>K10*'Unit Economics'!$D$8</f>
        <v/>
      </c>
      <c r="L23" s="11">
        <f>L10*'Unit Economics'!$D$8</f>
        <v/>
      </c>
      <c r="M23" s="11">
        <f>M10*'Unit Economics'!$D$8</f>
        <v/>
      </c>
      <c r="N23" s="11">
        <f>N10*'Unit Economics'!$D$8</f>
        <v/>
      </c>
      <c r="O23" s="11">
        <f>O10*'Unit Economics'!$D$8</f>
        <v/>
      </c>
      <c r="P23" s="11">
        <f>P10*'Unit Economics'!$D$8</f>
        <v/>
      </c>
      <c r="Q23" s="11">
        <f>Q10*'Unit Economics'!$D$8</f>
        <v/>
      </c>
      <c r="R23" s="11">
        <f>R10*'Unit Economics'!$D$8</f>
        <v/>
      </c>
      <c r="S23" s="11">
        <f>S10*'Unit Economics'!$D$8</f>
        <v/>
      </c>
      <c r="T23" s="11">
        <f>T10*'Unit Economics'!$D$8</f>
        <v/>
      </c>
      <c r="U23" s="11">
        <f>U10*'Unit Economics'!$D$8</f>
        <v/>
      </c>
      <c r="V23" s="11">
        <f>V10*'Unit Economics'!$D$8</f>
        <v/>
      </c>
      <c r="W23" s="11">
        <f>W10*'Unit Economics'!$D$8</f>
        <v/>
      </c>
      <c r="X23" s="11">
        <f>X10*'Unit Economics'!$D$8</f>
        <v/>
      </c>
      <c r="Y23" s="11">
        <f>Y10*'Unit Economics'!$D$8</f>
        <v/>
      </c>
      <c r="Z23" s="11">
        <f>Z10*'Unit Economics'!$D$8</f>
        <v/>
      </c>
      <c r="AA23" s="11">
        <f>AA10*'Unit Economics'!$D$8</f>
        <v/>
      </c>
      <c r="AB23" s="11">
        <f>AB10*'Unit Economics'!$D$8</f>
        <v/>
      </c>
      <c r="AC23" s="11">
        <f>AC10*'Unit Economics'!$D$8</f>
        <v/>
      </c>
      <c r="AD23" s="11">
        <f>AD10*'Unit Economics'!$D$8</f>
        <v/>
      </c>
      <c r="AE23" s="11">
        <f>AE10*'Unit Economics'!$D$8</f>
        <v/>
      </c>
      <c r="AF23" s="11">
        <f>AF10*'Unit Economics'!$D$8</f>
        <v/>
      </c>
      <c r="AG23" s="11">
        <f>AG10*'Unit Economics'!$D$8</f>
        <v/>
      </c>
      <c r="AH23" s="11">
        <f>AH10*'Unit Economics'!$D$8</f>
        <v/>
      </c>
      <c r="AI23" s="11">
        <f>AI10*'Unit Economics'!$D$8</f>
        <v/>
      </c>
      <c r="AJ23" s="11">
        <f>AJ10*'Unit Economics'!$D$8</f>
        <v/>
      </c>
      <c r="AK23" s="11">
        <f>AK10*'Unit Economics'!$D$8</f>
        <v/>
      </c>
      <c r="AL23" s="11">
        <f>AL10*'Unit Economics'!$D$8</f>
        <v/>
      </c>
    </row>
    <row r="24">
      <c r="B24" s="3" t="inlineStr">
        <is>
          <t>Commercial</t>
        </is>
      </c>
      <c r="C24" s="11">
        <f>C11*'Unit Economics'!$D$10</f>
        <v/>
      </c>
      <c r="D24" s="11">
        <f>D11*'Unit Economics'!$D$10</f>
        <v/>
      </c>
      <c r="E24" s="11">
        <f>E11*'Unit Economics'!$D$10</f>
        <v/>
      </c>
      <c r="F24" s="11">
        <f>F11*'Unit Economics'!$D$10</f>
        <v/>
      </c>
      <c r="G24" s="11">
        <f>G11*'Unit Economics'!$D$10</f>
        <v/>
      </c>
      <c r="H24" s="11">
        <f>H11*'Unit Economics'!$D$10</f>
        <v/>
      </c>
      <c r="I24" s="11">
        <f>I11*'Unit Economics'!$D$10</f>
        <v/>
      </c>
      <c r="J24" s="11">
        <f>J11*'Unit Economics'!$D$10</f>
        <v/>
      </c>
      <c r="K24" s="11">
        <f>K11*'Unit Economics'!$D$10</f>
        <v/>
      </c>
      <c r="L24" s="11">
        <f>L11*'Unit Economics'!$D$10</f>
        <v/>
      </c>
      <c r="M24" s="11">
        <f>M11*'Unit Economics'!$D$10</f>
        <v/>
      </c>
      <c r="N24" s="11">
        <f>N11*'Unit Economics'!$D$10</f>
        <v/>
      </c>
      <c r="O24" s="11">
        <f>O11*'Unit Economics'!$D$10</f>
        <v/>
      </c>
      <c r="P24" s="11">
        <f>P11*'Unit Economics'!$D$10</f>
        <v/>
      </c>
      <c r="Q24" s="11">
        <f>Q11*'Unit Economics'!$D$10</f>
        <v/>
      </c>
      <c r="R24" s="11">
        <f>R11*'Unit Economics'!$D$10</f>
        <v/>
      </c>
      <c r="S24" s="11">
        <f>S11*'Unit Economics'!$D$10</f>
        <v/>
      </c>
      <c r="T24" s="11">
        <f>T11*'Unit Economics'!$D$10</f>
        <v/>
      </c>
      <c r="U24" s="11">
        <f>U11*'Unit Economics'!$D$10</f>
        <v/>
      </c>
      <c r="V24" s="11">
        <f>V11*'Unit Economics'!$D$10</f>
        <v/>
      </c>
      <c r="W24" s="11">
        <f>W11*'Unit Economics'!$D$10</f>
        <v/>
      </c>
      <c r="X24" s="11">
        <f>X11*'Unit Economics'!$D$10</f>
        <v/>
      </c>
      <c r="Y24" s="11">
        <f>Y11*'Unit Economics'!$D$10</f>
        <v/>
      </c>
      <c r="Z24" s="11">
        <f>Z11*'Unit Economics'!$D$10</f>
        <v/>
      </c>
      <c r="AA24" s="11">
        <f>AA11*'Unit Economics'!$D$10</f>
        <v/>
      </c>
      <c r="AB24" s="11">
        <f>AB11*'Unit Economics'!$D$10</f>
        <v/>
      </c>
      <c r="AC24" s="11">
        <f>AC11*'Unit Economics'!$D$10</f>
        <v/>
      </c>
      <c r="AD24" s="11">
        <f>AD11*'Unit Economics'!$D$10</f>
        <v/>
      </c>
      <c r="AE24" s="11">
        <f>AE11*'Unit Economics'!$D$10</f>
        <v/>
      </c>
      <c r="AF24" s="11">
        <f>AF11*'Unit Economics'!$D$10</f>
        <v/>
      </c>
      <c r="AG24" s="11">
        <f>AG11*'Unit Economics'!$D$10</f>
        <v/>
      </c>
      <c r="AH24" s="11">
        <f>AH11*'Unit Economics'!$D$10</f>
        <v/>
      </c>
      <c r="AI24" s="11">
        <f>AI11*'Unit Economics'!$D$10</f>
        <v/>
      </c>
      <c r="AJ24" s="11">
        <f>AJ11*'Unit Economics'!$D$10</f>
        <v/>
      </c>
      <c r="AK24" s="11">
        <f>AK11*'Unit Economics'!$D$10</f>
        <v/>
      </c>
      <c r="AL24" s="11">
        <f>AL11*'Unit Economics'!$D$10</f>
        <v/>
      </c>
    </row>
    <row r="25">
      <c r="B25" s="3" t="inlineStr">
        <is>
          <t>Insurer account management</t>
        </is>
      </c>
      <c r="C25" s="11">
        <f>C9*Assumptions!$C$33/12</f>
        <v/>
      </c>
      <c r="D25" s="11">
        <f>D9*Assumptions!$C$33/12</f>
        <v/>
      </c>
      <c r="E25" s="11">
        <f>E9*Assumptions!$C$33/12</f>
        <v/>
      </c>
      <c r="F25" s="11">
        <f>F9*Assumptions!$C$33/12</f>
        <v/>
      </c>
      <c r="G25" s="11">
        <f>G9*Assumptions!$C$33/12</f>
        <v/>
      </c>
      <c r="H25" s="11">
        <f>H9*Assumptions!$C$33/12</f>
        <v/>
      </c>
      <c r="I25" s="11">
        <f>I9*Assumptions!$C$33/12</f>
        <v/>
      </c>
      <c r="J25" s="11">
        <f>J9*Assumptions!$C$33/12</f>
        <v/>
      </c>
      <c r="K25" s="11">
        <f>K9*Assumptions!$C$33/12</f>
        <v/>
      </c>
      <c r="L25" s="11">
        <f>L9*Assumptions!$C$33/12</f>
        <v/>
      </c>
      <c r="M25" s="11">
        <f>M9*Assumptions!$C$33/12</f>
        <v/>
      </c>
      <c r="N25" s="11">
        <f>N9*Assumptions!$C$33/12</f>
        <v/>
      </c>
      <c r="O25" s="11">
        <f>O9*Assumptions!$C$33/12</f>
        <v/>
      </c>
      <c r="P25" s="11">
        <f>P9*Assumptions!$C$33/12</f>
        <v/>
      </c>
      <c r="Q25" s="11">
        <f>Q9*Assumptions!$C$33/12</f>
        <v/>
      </c>
      <c r="R25" s="11">
        <f>R9*Assumptions!$C$33/12</f>
        <v/>
      </c>
      <c r="S25" s="11">
        <f>S9*Assumptions!$C$33/12</f>
        <v/>
      </c>
      <c r="T25" s="11">
        <f>T9*Assumptions!$C$33/12</f>
        <v/>
      </c>
      <c r="U25" s="11">
        <f>U9*Assumptions!$C$33/12</f>
        <v/>
      </c>
      <c r="V25" s="11">
        <f>V9*Assumptions!$C$33/12</f>
        <v/>
      </c>
      <c r="W25" s="11">
        <f>W9*Assumptions!$C$33/12</f>
        <v/>
      </c>
      <c r="X25" s="11">
        <f>X9*Assumptions!$C$33/12</f>
        <v/>
      </c>
      <c r="Y25" s="11">
        <f>Y9*Assumptions!$C$33/12</f>
        <v/>
      </c>
      <c r="Z25" s="11">
        <f>Z9*Assumptions!$C$33/12</f>
        <v/>
      </c>
      <c r="AA25" s="11">
        <f>AA9*Assumptions!$C$33/12</f>
        <v/>
      </c>
      <c r="AB25" s="11">
        <f>AB9*Assumptions!$C$33/12</f>
        <v/>
      </c>
      <c r="AC25" s="11">
        <f>AC9*Assumptions!$C$33/12</f>
        <v/>
      </c>
      <c r="AD25" s="11">
        <f>AD9*Assumptions!$C$33/12</f>
        <v/>
      </c>
      <c r="AE25" s="11">
        <f>AE9*Assumptions!$C$33/12</f>
        <v/>
      </c>
      <c r="AF25" s="11">
        <f>AF9*Assumptions!$C$33/12</f>
        <v/>
      </c>
      <c r="AG25" s="11">
        <f>AG9*Assumptions!$C$33/12</f>
        <v/>
      </c>
      <c r="AH25" s="11">
        <f>AH9*Assumptions!$C$33/12</f>
        <v/>
      </c>
      <c r="AI25" s="11">
        <f>AI9*Assumptions!$C$33/12</f>
        <v/>
      </c>
      <c r="AJ25" s="11">
        <f>AJ9*Assumptions!$C$33/12</f>
        <v/>
      </c>
      <c r="AK25" s="11">
        <f>AK9*Assumptions!$C$33/12</f>
        <v/>
      </c>
      <c r="AL25" s="11">
        <f>AL9*Assumptions!$C$33/12</f>
        <v/>
      </c>
    </row>
    <row r="26">
      <c r="B26" s="4" t="inlineStr">
        <is>
          <t>Total direct cost</t>
        </is>
      </c>
      <c r="C26" s="12">
        <f>SUM(C22:C25)</f>
        <v/>
      </c>
      <c r="D26" s="12">
        <f>SUM(D22:D25)</f>
        <v/>
      </c>
      <c r="E26" s="12">
        <f>SUM(E22:E25)</f>
        <v/>
      </c>
      <c r="F26" s="12">
        <f>SUM(F22:F25)</f>
        <v/>
      </c>
      <c r="G26" s="12">
        <f>SUM(G22:G25)</f>
        <v/>
      </c>
      <c r="H26" s="12">
        <f>SUM(H22:H25)</f>
        <v/>
      </c>
      <c r="I26" s="12">
        <f>SUM(I22:I25)</f>
        <v/>
      </c>
      <c r="J26" s="12">
        <f>SUM(J22:J25)</f>
        <v/>
      </c>
      <c r="K26" s="12">
        <f>SUM(K22:K25)</f>
        <v/>
      </c>
      <c r="L26" s="12">
        <f>SUM(L22:L25)</f>
        <v/>
      </c>
      <c r="M26" s="12">
        <f>SUM(M22:M25)</f>
        <v/>
      </c>
      <c r="N26" s="12">
        <f>SUM(N22:N25)</f>
        <v/>
      </c>
      <c r="O26" s="12">
        <f>SUM(O22:O25)</f>
        <v/>
      </c>
      <c r="P26" s="12">
        <f>SUM(P22:P25)</f>
        <v/>
      </c>
      <c r="Q26" s="12">
        <f>SUM(Q22:Q25)</f>
        <v/>
      </c>
      <c r="R26" s="12">
        <f>SUM(R22:R25)</f>
        <v/>
      </c>
      <c r="S26" s="12">
        <f>SUM(S22:S25)</f>
        <v/>
      </c>
      <c r="T26" s="12">
        <f>SUM(T22:T25)</f>
        <v/>
      </c>
      <c r="U26" s="12">
        <f>SUM(U22:U25)</f>
        <v/>
      </c>
      <c r="V26" s="12">
        <f>SUM(V22:V25)</f>
        <v/>
      </c>
      <c r="W26" s="12">
        <f>SUM(W22:W25)</f>
        <v/>
      </c>
      <c r="X26" s="12">
        <f>SUM(X22:X25)</f>
        <v/>
      </c>
      <c r="Y26" s="12">
        <f>SUM(Y22:Y25)</f>
        <v/>
      </c>
      <c r="Z26" s="12">
        <f>SUM(Z22:Z25)</f>
        <v/>
      </c>
      <c r="AA26" s="12">
        <f>SUM(AA22:AA25)</f>
        <v/>
      </c>
      <c r="AB26" s="12">
        <f>SUM(AB22:AB25)</f>
        <v/>
      </c>
      <c r="AC26" s="12">
        <f>SUM(AC22:AC25)</f>
        <v/>
      </c>
      <c r="AD26" s="12">
        <f>SUM(AD22:AD25)</f>
        <v/>
      </c>
      <c r="AE26" s="12">
        <f>SUM(AE22:AE25)</f>
        <v/>
      </c>
      <c r="AF26" s="12">
        <f>SUM(AF22:AF25)</f>
        <v/>
      </c>
      <c r="AG26" s="12">
        <f>SUM(AG22:AG25)</f>
        <v/>
      </c>
      <c r="AH26" s="12">
        <f>SUM(AH22:AH25)</f>
        <v/>
      </c>
      <c r="AI26" s="12">
        <f>SUM(AI22:AI25)</f>
        <v/>
      </c>
      <c r="AJ26" s="12">
        <f>SUM(AJ22:AJ25)</f>
        <v/>
      </c>
      <c r="AK26" s="12">
        <f>SUM(AK22:AK25)</f>
        <v/>
      </c>
      <c r="AL26" s="12">
        <f>SUM(AL22:AL25)</f>
        <v/>
      </c>
    </row>
    <row r="27">
      <c r="B27" s="4" t="inlineStr">
        <is>
          <t>Contribution</t>
        </is>
      </c>
      <c r="C27" s="12">
        <f>C19-C26</f>
        <v/>
      </c>
      <c r="D27" s="12">
        <f>D19-D26</f>
        <v/>
      </c>
      <c r="E27" s="12">
        <f>E19-E26</f>
        <v/>
      </c>
      <c r="F27" s="12">
        <f>F19-F26</f>
        <v/>
      </c>
      <c r="G27" s="12">
        <f>G19-G26</f>
        <v/>
      </c>
      <c r="H27" s="12">
        <f>H19-H26</f>
        <v/>
      </c>
      <c r="I27" s="12">
        <f>I19-I26</f>
        <v/>
      </c>
      <c r="J27" s="12">
        <f>J19-J26</f>
        <v/>
      </c>
      <c r="K27" s="12">
        <f>K19-K26</f>
        <v/>
      </c>
      <c r="L27" s="12">
        <f>L19-L26</f>
        <v/>
      </c>
      <c r="M27" s="12">
        <f>M19-M26</f>
        <v/>
      </c>
      <c r="N27" s="12">
        <f>N19-N26</f>
        <v/>
      </c>
      <c r="O27" s="12">
        <f>O19-O26</f>
        <v/>
      </c>
      <c r="P27" s="12">
        <f>P19-P26</f>
        <v/>
      </c>
      <c r="Q27" s="12">
        <f>Q19-Q26</f>
        <v/>
      </c>
      <c r="R27" s="12">
        <f>R19-R26</f>
        <v/>
      </c>
      <c r="S27" s="12">
        <f>S19-S26</f>
        <v/>
      </c>
      <c r="T27" s="12">
        <f>T19-T26</f>
        <v/>
      </c>
      <c r="U27" s="12">
        <f>U19-U26</f>
        <v/>
      </c>
      <c r="V27" s="12">
        <f>V19-V26</f>
        <v/>
      </c>
      <c r="W27" s="12">
        <f>W19-W26</f>
        <v/>
      </c>
      <c r="X27" s="12">
        <f>X19-X26</f>
        <v/>
      </c>
      <c r="Y27" s="12">
        <f>Y19-Y26</f>
        <v/>
      </c>
      <c r="Z27" s="12">
        <f>Z19-Z26</f>
        <v/>
      </c>
      <c r="AA27" s="12">
        <f>AA19-AA26</f>
        <v/>
      </c>
      <c r="AB27" s="12">
        <f>AB19-AB26</f>
        <v/>
      </c>
      <c r="AC27" s="12">
        <f>AC19-AC26</f>
        <v/>
      </c>
      <c r="AD27" s="12">
        <f>AD19-AD26</f>
        <v/>
      </c>
      <c r="AE27" s="12">
        <f>AE19-AE26</f>
        <v/>
      </c>
      <c r="AF27" s="12">
        <f>AF19-AF26</f>
        <v/>
      </c>
      <c r="AG27" s="12">
        <f>AG19-AG26</f>
        <v/>
      </c>
      <c r="AH27" s="12">
        <f>AH19-AH26</f>
        <v/>
      </c>
      <c r="AI27" s="12">
        <f>AI19-AI26</f>
        <v/>
      </c>
      <c r="AJ27" s="12">
        <f>AJ19-AJ26</f>
        <v/>
      </c>
      <c r="AK27" s="12">
        <f>AK19-AK26</f>
        <v/>
      </c>
      <c r="AL27" s="12">
        <f>AL19-AL26</f>
        <v/>
      </c>
    </row>
    <row r="28">
      <c r="B28" s="3" t="inlineStr"/>
    </row>
    <row r="29">
      <c r="B29" s="5" t="inlineStr">
        <is>
          <t>FIXED COSTS</t>
        </is>
      </c>
    </row>
    <row r="30">
      <c r="B30" s="3" t="inlineStr">
        <is>
          <t>Total fixed</t>
        </is>
      </c>
      <c r="C30" s="11">
        <f>(Assumptions!$C$36+Assumptions!$C$37+Assumptions!$C$38+Assumptions!$C$39+Assumptions!$C$40+Assumptions!$C$41+Assumptions!$C$42)*MIN(1,0.55+0.45*C5)</f>
        <v/>
      </c>
      <c r="D30" s="11">
        <f>(Assumptions!$C$36+Assumptions!$C$37+Assumptions!$C$38+Assumptions!$C$39+Assumptions!$C$40+Assumptions!$C$41+Assumptions!$C$42)*MIN(1,0.55+0.45*D5)</f>
        <v/>
      </c>
      <c r="E30" s="11">
        <f>(Assumptions!$C$36+Assumptions!$C$37+Assumptions!$C$38+Assumptions!$C$39+Assumptions!$C$40+Assumptions!$C$41+Assumptions!$C$42)*MIN(1,0.55+0.45*E5)</f>
        <v/>
      </c>
      <c r="F30" s="11">
        <f>(Assumptions!$C$36+Assumptions!$C$37+Assumptions!$C$38+Assumptions!$C$39+Assumptions!$C$40+Assumptions!$C$41+Assumptions!$C$42)*MIN(1,0.55+0.45*F5)</f>
        <v/>
      </c>
      <c r="G30" s="11">
        <f>(Assumptions!$C$36+Assumptions!$C$37+Assumptions!$C$38+Assumptions!$C$39+Assumptions!$C$40+Assumptions!$C$41+Assumptions!$C$42)*MIN(1,0.55+0.45*G5)</f>
        <v/>
      </c>
      <c r="H30" s="11">
        <f>(Assumptions!$C$36+Assumptions!$C$37+Assumptions!$C$38+Assumptions!$C$39+Assumptions!$C$40+Assumptions!$C$41+Assumptions!$C$42)*MIN(1,0.55+0.45*H5)</f>
        <v/>
      </c>
      <c r="I30" s="11">
        <f>(Assumptions!$C$36+Assumptions!$C$37+Assumptions!$C$38+Assumptions!$C$39+Assumptions!$C$40+Assumptions!$C$41+Assumptions!$C$42)*MIN(1,0.55+0.45*I5)</f>
        <v/>
      </c>
      <c r="J30" s="11">
        <f>(Assumptions!$C$36+Assumptions!$C$37+Assumptions!$C$38+Assumptions!$C$39+Assumptions!$C$40+Assumptions!$C$41+Assumptions!$C$42)*MIN(1,0.55+0.45*J5)</f>
        <v/>
      </c>
      <c r="K30" s="11">
        <f>(Assumptions!$C$36+Assumptions!$C$37+Assumptions!$C$38+Assumptions!$C$39+Assumptions!$C$40+Assumptions!$C$41+Assumptions!$C$42)*MIN(1,0.55+0.45*K5)</f>
        <v/>
      </c>
      <c r="L30" s="11">
        <f>(Assumptions!$C$36+Assumptions!$C$37+Assumptions!$C$38+Assumptions!$C$39+Assumptions!$C$40+Assumptions!$C$41+Assumptions!$C$42)*MIN(1,0.55+0.45*L5)</f>
        <v/>
      </c>
      <c r="M30" s="11">
        <f>(Assumptions!$C$36+Assumptions!$C$37+Assumptions!$C$38+Assumptions!$C$39+Assumptions!$C$40+Assumptions!$C$41+Assumptions!$C$42)*MIN(1,0.55+0.45*M5)</f>
        <v/>
      </c>
      <c r="N30" s="11">
        <f>(Assumptions!$C$36+Assumptions!$C$37+Assumptions!$C$38+Assumptions!$C$39+Assumptions!$C$40+Assumptions!$C$41+Assumptions!$C$42)*MIN(1,0.55+0.45*N5)</f>
        <v/>
      </c>
      <c r="O30" s="11">
        <f>(Assumptions!$C$36+Assumptions!$C$37+Assumptions!$C$38+Assumptions!$C$39+Assumptions!$C$40+Assumptions!$C$41+Assumptions!$C$42)*MIN(1,0.55+0.45*O5)</f>
        <v/>
      </c>
      <c r="P30" s="11">
        <f>(Assumptions!$C$36+Assumptions!$C$37+Assumptions!$C$38+Assumptions!$C$39+Assumptions!$C$40+Assumptions!$C$41+Assumptions!$C$42)*MIN(1,0.55+0.45*P5)</f>
        <v/>
      </c>
      <c r="Q30" s="11">
        <f>(Assumptions!$C$36+Assumptions!$C$37+Assumptions!$C$38+Assumptions!$C$39+Assumptions!$C$40+Assumptions!$C$41+Assumptions!$C$42)*MIN(1,0.55+0.45*Q5)</f>
        <v/>
      </c>
      <c r="R30" s="11">
        <f>(Assumptions!$C$36+Assumptions!$C$37+Assumptions!$C$38+Assumptions!$C$39+Assumptions!$C$40+Assumptions!$C$41+Assumptions!$C$42)*MIN(1,0.55+0.45*R5)</f>
        <v/>
      </c>
      <c r="S30" s="11">
        <f>(Assumptions!$C$36+Assumptions!$C$37+Assumptions!$C$38+Assumptions!$C$39+Assumptions!$C$40+Assumptions!$C$41+Assumptions!$C$42)*MIN(1,0.55+0.45*S5)</f>
        <v/>
      </c>
      <c r="T30" s="11">
        <f>(Assumptions!$C$36+Assumptions!$C$37+Assumptions!$C$38+Assumptions!$C$39+Assumptions!$C$40+Assumptions!$C$41+Assumptions!$C$42)*MIN(1,0.55+0.45*T5)</f>
        <v/>
      </c>
      <c r="U30" s="11">
        <f>(Assumptions!$C$36+Assumptions!$C$37+Assumptions!$C$38+Assumptions!$C$39+Assumptions!$C$40+Assumptions!$C$41+Assumptions!$C$42)*MIN(1,0.55+0.45*U5)</f>
        <v/>
      </c>
      <c r="V30" s="11">
        <f>(Assumptions!$C$36+Assumptions!$C$37+Assumptions!$C$38+Assumptions!$C$39+Assumptions!$C$40+Assumptions!$C$41+Assumptions!$C$42)*MIN(1,0.55+0.45*V5)</f>
        <v/>
      </c>
      <c r="W30" s="11">
        <f>(Assumptions!$C$36+Assumptions!$C$37+Assumptions!$C$38+Assumptions!$C$39+Assumptions!$C$40+Assumptions!$C$41+Assumptions!$C$42)*MIN(1,0.55+0.45*W5)</f>
        <v/>
      </c>
      <c r="X30" s="11">
        <f>(Assumptions!$C$36+Assumptions!$C$37+Assumptions!$C$38+Assumptions!$C$39+Assumptions!$C$40+Assumptions!$C$41+Assumptions!$C$42)*MIN(1,0.55+0.45*X5)</f>
        <v/>
      </c>
      <c r="Y30" s="11">
        <f>(Assumptions!$C$36+Assumptions!$C$37+Assumptions!$C$38+Assumptions!$C$39+Assumptions!$C$40+Assumptions!$C$41+Assumptions!$C$42)*MIN(1,0.55+0.45*Y5)</f>
        <v/>
      </c>
      <c r="Z30" s="11">
        <f>(Assumptions!$C$36+Assumptions!$C$37+Assumptions!$C$38+Assumptions!$C$39+Assumptions!$C$40+Assumptions!$C$41+Assumptions!$C$42)*MIN(1,0.55+0.45*Z5)</f>
        <v/>
      </c>
      <c r="AA30" s="11">
        <f>(Assumptions!$C$36+Assumptions!$C$37+Assumptions!$C$38+Assumptions!$C$39+Assumptions!$C$40+Assumptions!$C$41+Assumptions!$C$42)*MIN(1,0.55+0.45*AA5)</f>
        <v/>
      </c>
      <c r="AB30" s="11">
        <f>(Assumptions!$C$36+Assumptions!$C$37+Assumptions!$C$38+Assumptions!$C$39+Assumptions!$C$40+Assumptions!$C$41+Assumptions!$C$42)*MIN(1,0.55+0.45*AB5)</f>
        <v/>
      </c>
      <c r="AC30" s="11">
        <f>(Assumptions!$C$36+Assumptions!$C$37+Assumptions!$C$38+Assumptions!$C$39+Assumptions!$C$40+Assumptions!$C$41+Assumptions!$C$42)*MIN(1,0.55+0.45*AC5)</f>
        <v/>
      </c>
      <c r="AD30" s="11">
        <f>(Assumptions!$C$36+Assumptions!$C$37+Assumptions!$C$38+Assumptions!$C$39+Assumptions!$C$40+Assumptions!$C$41+Assumptions!$C$42)*MIN(1,0.55+0.45*AD5)</f>
        <v/>
      </c>
      <c r="AE30" s="11">
        <f>(Assumptions!$C$36+Assumptions!$C$37+Assumptions!$C$38+Assumptions!$C$39+Assumptions!$C$40+Assumptions!$C$41+Assumptions!$C$42)*MIN(1,0.55+0.45*AE5)</f>
        <v/>
      </c>
      <c r="AF30" s="11">
        <f>(Assumptions!$C$36+Assumptions!$C$37+Assumptions!$C$38+Assumptions!$C$39+Assumptions!$C$40+Assumptions!$C$41+Assumptions!$C$42)*MIN(1,0.55+0.45*AF5)</f>
        <v/>
      </c>
      <c r="AG30" s="11">
        <f>(Assumptions!$C$36+Assumptions!$C$37+Assumptions!$C$38+Assumptions!$C$39+Assumptions!$C$40+Assumptions!$C$41+Assumptions!$C$42)*MIN(1,0.55+0.45*AG5)</f>
        <v/>
      </c>
      <c r="AH30" s="11">
        <f>(Assumptions!$C$36+Assumptions!$C$37+Assumptions!$C$38+Assumptions!$C$39+Assumptions!$C$40+Assumptions!$C$41+Assumptions!$C$42)*MIN(1,0.55+0.45*AH5)</f>
        <v/>
      </c>
      <c r="AI30" s="11">
        <f>(Assumptions!$C$36+Assumptions!$C$37+Assumptions!$C$38+Assumptions!$C$39+Assumptions!$C$40+Assumptions!$C$41+Assumptions!$C$42)*MIN(1,0.55+0.45*AI5)</f>
        <v/>
      </c>
      <c r="AJ30" s="11">
        <f>(Assumptions!$C$36+Assumptions!$C$37+Assumptions!$C$38+Assumptions!$C$39+Assumptions!$C$40+Assumptions!$C$41+Assumptions!$C$42)*MIN(1,0.55+0.45*AJ5)</f>
        <v/>
      </c>
      <c r="AK30" s="11">
        <f>(Assumptions!$C$36+Assumptions!$C$37+Assumptions!$C$38+Assumptions!$C$39+Assumptions!$C$40+Assumptions!$C$41+Assumptions!$C$42)*MIN(1,0.55+0.45*AK5)</f>
        <v/>
      </c>
      <c r="AL30" s="11">
        <f>(Assumptions!$C$36+Assumptions!$C$37+Assumptions!$C$38+Assumptions!$C$39+Assumptions!$C$40+Assumptions!$C$41+Assumptions!$C$42)*MIN(1,0.55+0.45*AL5)</f>
        <v/>
      </c>
    </row>
    <row r="31">
      <c r="B31" s="4" t="inlineStr">
        <is>
          <t>EBITDA</t>
        </is>
      </c>
      <c r="C31" s="12">
        <f>C27-C30</f>
        <v/>
      </c>
      <c r="D31" s="12">
        <f>D27-D30</f>
        <v/>
      </c>
      <c r="E31" s="12">
        <f>E27-E30</f>
        <v/>
      </c>
      <c r="F31" s="12">
        <f>F27-F30</f>
        <v/>
      </c>
      <c r="G31" s="12">
        <f>G27-G30</f>
        <v/>
      </c>
      <c r="H31" s="12">
        <f>H27-H30</f>
        <v/>
      </c>
      <c r="I31" s="12">
        <f>I27-I30</f>
        <v/>
      </c>
      <c r="J31" s="12">
        <f>J27-J30</f>
        <v/>
      </c>
      <c r="K31" s="12">
        <f>K27-K30</f>
        <v/>
      </c>
      <c r="L31" s="12">
        <f>L27-L30</f>
        <v/>
      </c>
      <c r="M31" s="12">
        <f>M27-M30</f>
        <v/>
      </c>
      <c r="N31" s="12">
        <f>N27-N30</f>
        <v/>
      </c>
      <c r="O31" s="12">
        <f>O27-O30</f>
        <v/>
      </c>
      <c r="P31" s="12">
        <f>P27-P30</f>
        <v/>
      </c>
      <c r="Q31" s="12">
        <f>Q27-Q30</f>
        <v/>
      </c>
      <c r="R31" s="12">
        <f>R27-R30</f>
        <v/>
      </c>
      <c r="S31" s="12">
        <f>S27-S30</f>
        <v/>
      </c>
      <c r="T31" s="12">
        <f>T27-T30</f>
        <v/>
      </c>
      <c r="U31" s="12">
        <f>U27-U30</f>
        <v/>
      </c>
      <c r="V31" s="12">
        <f>V27-V30</f>
        <v/>
      </c>
      <c r="W31" s="12">
        <f>W27-W30</f>
        <v/>
      </c>
      <c r="X31" s="12">
        <f>X27-X30</f>
        <v/>
      </c>
      <c r="Y31" s="12">
        <f>Y27-Y30</f>
        <v/>
      </c>
      <c r="Z31" s="12">
        <f>Z27-Z30</f>
        <v/>
      </c>
      <c r="AA31" s="12">
        <f>AA27-AA30</f>
        <v/>
      </c>
      <c r="AB31" s="12">
        <f>AB27-AB30</f>
        <v/>
      </c>
      <c r="AC31" s="12">
        <f>AC27-AC30</f>
        <v/>
      </c>
      <c r="AD31" s="12">
        <f>AD27-AD30</f>
        <v/>
      </c>
      <c r="AE31" s="12">
        <f>AE27-AE30</f>
        <v/>
      </c>
      <c r="AF31" s="12">
        <f>AF27-AF30</f>
        <v/>
      </c>
      <c r="AG31" s="12">
        <f>AG27-AG30</f>
        <v/>
      </c>
      <c r="AH31" s="12">
        <f>AH27-AH30</f>
        <v/>
      </c>
      <c r="AI31" s="12">
        <f>AI27-AI30</f>
        <v/>
      </c>
      <c r="AJ31" s="12">
        <f>AJ27-AJ30</f>
        <v/>
      </c>
      <c r="AK31" s="12">
        <f>AK27-AK30</f>
        <v/>
      </c>
      <c r="AL31" s="12">
        <f>AL27-AL30</f>
        <v/>
      </c>
    </row>
    <row r="32">
      <c r="B32" s="3" t="inlineStr">
        <is>
          <t>Cumulative EBITDA</t>
        </is>
      </c>
      <c r="C32" s="11">
        <f>C31</f>
        <v/>
      </c>
      <c r="D32" s="11">
        <f>C32+D31</f>
        <v/>
      </c>
      <c r="E32" s="11">
        <f>D32+E31</f>
        <v/>
      </c>
      <c r="F32" s="11">
        <f>E32+F31</f>
        <v/>
      </c>
      <c r="G32" s="11">
        <f>F32+G31</f>
        <v/>
      </c>
      <c r="H32" s="11">
        <f>G32+H31</f>
        <v/>
      </c>
      <c r="I32" s="11">
        <f>H32+I31</f>
        <v/>
      </c>
      <c r="J32" s="11">
        <f>I32+J31</f>
        <v/>
      </c>
      <c r="K32" s="11">
        <f>J32+K31</f>
        <v/>
      </c>
      <c r="L32" s="11">
        <f>K32+L31</f>
        <v/>
      </c>
      <c r="M32" s="11">
        <f>L32+M31</f>
        <v/>
      </c>
      <c r="N32" s="11">
        <f>M32+N31</f>
        <v/>
      </c>
      <c r="O32" s="11">
        <f>N32+O31</f>
        <v/>
      </c>
      <c r="P32" s="11">
        <f>O32+P31</f>
        <v/>
      </c>
      <c r="Q32" s="11">
        <f>P32+Q31</f>
        <v/>
      </c>
      <c r="R32" s="11">
        <f>Q32+R31</f>
        <v/>
      </c>
      <c r="S32" s="11">
        <f>R32+S31</f>
        <v/>
      </c>
      <c r="T32" s="11">
        <f>S32+T31</f>
        <v/>
      </c>
      <c r="U32" s="11">
        <f>T32+U31</f>
        <v/>
      </c>
      <c r="V32" s="11">
        <f>U32+V31</f>
        <v/>
      </c>
      <c r="W32" s="11">
        <f>V32+W31</f>
        <v/>
      </c>
      <c r="X32" s="11">
        <f>W32+X31</f>
        <v/>
      </c>
      <c r="Y32" s="11">
        <f>X32+Y31</f>
        <v/>
      </c>
      <c r="Z32" s="11">
        <f>Y32+Z31</f>
        <v/>
      </c>
      <c r="AA32" s="11">
        <f>Z32+AA31</f>
        <v/>
      </c>
      <c r="AB32" s="11">
        <f>AA32+AB31</f>
        <v/>
      </c>
      <c r="AC32" s="11">
        <f>AB32+AC31</f>
        <v/>
      </c>
      <c r="AD32" s="11">
        <f>AC32+AD31</f>
        <v/>
      </c>
      <c r="AE32" s="11">
        <f>AD32+AE31</f>
        <v/>
      </c>
      <c r="AF32" s="11">
        <f>AE32+AF31</f>
        <v/>
      </c>
      <c r="AG32" s="11">
        <f>AF32+AG31</f>
        <v/>
      </c>
      <c r="AH32" s="11">
        <f>AG32+AH31</f>
        <v/>
      </c>
      <c r="AI32" s="11">
        <f>AH32+AI31</f>
        <v/>
      </c>
      <c r="AJ32" s="11">
        <f>AI32+AJ31</f>
        <v/>
      </c>
      <c r="AK32" s="11">
        <f>AJ32+AK31</f>
        <v/>
      </c>
      <c r="AL32" s="11">
        <f>AK32+AL31</f>
        <v/>
      </c>
    </row>
    <row r="33">
      <c r="B33" s="3" t="inlineStr">
        <is>
          <t>Break-even flag</t>
        </is>
      </c>
      <c r="C33" s="15">
        <f>IF(C31&gt;0,1,9999)</f>
        <v/>
      </c>
      <c r="D33" s="15">
        <f>IF(D31&gt;0,2,9999)</f>
        <v/>
      </c>
      <c r="E33" s="15">
        <f>IF(E31&gt;0,3,9999)</f>
        <v/>
      </c>
      <c r="F33" s="15">
        <f>IF(F31&gt;0,4,9999)</f>
        <v/>
      </c>
      <c r="G33" s="15">
        <f>IF(G31&gt;0,5,9999)</f>
        <v/>
      </c>
      <c r="H33" s="15">
        <f>IF(H31&gt;0,6,9999)</f>
        <v/>
      </c>
      <c r="I33" s="15">
        <f>IF(I31&gt;0,7,9999)</f>
        <v/>
      </c>
      <c r="J33" s="15">
        <f>IF(J31&gt;0,8,9999)</f>
        <v/>
      </c>
      <c r="K33" s="15">
        <f>IF(K31&gt;0,9,9999)</f>
        <v/>
      </c>
      <c r="L33" s="15">
        <f>IF(L31&gt;0,10,9999)</f>
        <v/>
      </c>
      <c r="M33" s="15">
        <f>IF(M31&gt;0,11,9999)</f>
        <v/>
      </c>
      <c r="N33" s="15">
        <f>IF(N31&gt;0,12,9999)</f>
        <v/>
      </c>
      <c r="O33" s="15">
        <f>IF(O31&gt;0,13,9999)</f>
        <v/>
      </c>
      <c r="P33" s="15">
        <f>IF(P31&gt;0,14,9999)</f>
        <v/>
      </c>
      <c r="Q33" s="15">
        <f>IF(Q31&gt;0,15,9999)</f>
        <v/>
      </c>
      <c r="R33" s="15">
        <f>IF(R31&gt;0,16,9999)</f>
        <v/>
      </c>
      <c r="S33" s="15">
        <f>IF(S31&gt;0,17,9999)</f>
        <v/>
      </c>
      <c r="T33" s="15">
        <f>IF(T31&gt;0,18,9999)</f>
        <v/>
      </c>
      <c r="U33" s="15">
        <f>IF(U31&gt;0,19,9999)</f>
        <v/>
      </c>
      <c r="V33" s="15">
        <f>IF(V31&gt;0,20,9999)</f>
        <v/>
      </c>
      <c r="W33" s="15">
        <f>IF(W31&gt;0,21,9999)</f>
        <v/>
      </c>
      <c r="X33" s="15">
        <f>IF(X31&gt;0,22,9999)</f>
        <v/>
      </c>
      <c r="Y33" s="15">
        <f>IF(Y31&gt;0,23,9999)</f>
        <v/>
      </c>
      <c r="Z33" s="15">
        <f>IF(Z31&gt;0,24,9999)</f>
        <v/>
      </c>
      <c r="AA33" s="15">
        <f>IF(AA31&gt;0,25,9999)</f>
        <v/>
      </c>
      <c r="AB33" s="15">
        <f>IF(AB31&gt;0,26,9999)</f>
        <v/>
      </c>
      <c r="AC33" s="15">
        <f>IF(AC31&gt;0,27,9999)</f>
        <v/>
      </c>
      <c r="AD33" s="15">
        <f>IF(AD31&gt;0,28,9999)</f>
        <v/>
      </c>
      <c r="AE33" s="15">
        <f>IF(AE31&gt;0,29,9999)</f>
        <v/>
      </c>
      <c r="AF33" s="15">
        <f>IF(AF31&gt;0,30,9999)</f>
        <v/>
      </c>
      <c r="AG33" s="15">
        <f>IF(AG31&gt;0,31,9999)</f>
        <v/>
      </c>
      <c r="AH33" s="15">
        <f>IF(AH31&gt;0,32,9999)</f>
        <v/>
      </c>
      <c r="AI33" s="15">
        <f>IF(AI31&gt;0,33,9999)</f>
        <v/>
      </c>
      <c r="AJ33" s="15">
        <f>IF(AJ31&gt;0,34,9999)</f>
        <v/>
      </c>
      <c r="AK33" s="15">
        <f>IF(AK31&gt;0,35,9999)</f>
        <v/>
      </c>
      <c r="AL33" s="15">
        <f>IF(AL31&gt;0,36,9999)</f>
        <v/>
      </c>
    </row>
    <row r="42">
      <c r="B42" s="5" t="inlineStr">
        <is>
          <t>Break-even month</t>
        </is>
      </c>
      <c r="C42" s="17">
        <f>MIN(C33:AL33)</f>
        <v/>
      </c>
    </row>
    <row r="43">
      <c r="B43" s="4" t="inlineStr">
        <is>
          <t>Month-36 annualised revenue</t>
        </is>
      </c>
      <c r="C43" s="12">
        <f>AL19*12</f>
        <v/>
      </c>
    </row>
    <row r="44">
      <c r="B44" s="4" t="inlineStr">
        <is>
          <t>Month-36 annualised EBITDA</t>
        </is>
      </c>
      <c r="C44" s="12">
        <f>AL31*12</f>
        <v/>
      </c>
    </row>
    <row r="45">
      <c r="B45" s="4" t="inlineStr">
        <is>
          <t>Recurring share of month-36 revenue (subscriptions + batched days)</t>
        </is>
      </c>
      <c r="C45" s="18">
        <f>(AL16+AL17)/AL19</f>
        <v/>
      </c>
    </row>
  </sheetData>
  <mergeCells count="2">
    <mergeCell ref="A2:AN2"/>
    <mergeCell ref="A1:A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20" customWidth="1" min="4" max="4"/>
    <col width="20" customWidth="1" min="5" max="5"/>
    <col width="54" customWidth="1" min="6" max="6"/>
  </cols>
  <sheetData>
    <row r="1">
      <c r="A1" s="1" t="inlineStr">
        <is>
          <t>Scenarios</t>
        </is>
      </c>
    </row>
    <row r="2">
      <c r="A2" s="2" t="inlineStr">
        <is>
          <t>Change the Assumptions to the values below and read the Build-Up outputs. The point of this sheet is the middle column.</t>
        </is>
      </c>
    </row>
    <row r="4">
      <c r="A4" s="9" t="inlineStr"/>
      <c r="B4" s="9" t="inlineStr">
        <is>
          <t>Driver</t>
        </is>
      </c>
      <c r="C4" s="9" t="inlineStr">
        <is>
          <t>Downside</t>
        </is>
      </c>
      <c r="D4" s="9" t="inlineStr">
        <is>
          <t>Base</t>
        </is>
      </c>
      <c r="E4" s="9" t="inlineStr">
        <is>
          <t>Upside</t>
        </is>
      </c>
      <c r="F4" s="9" t="inlineStr">
        <is>
          <t>Why it matters</t>
        </is>
      </c>
    </row>
    <row r="5">
      <c r="B5" s="19" t="inlineStr">
        <is>
          <t>Retail matters per month (month 36)</t>
        </is>
      </c>
      <c r="C5" s="11" t="n">
        <v>180</v>
      </c>
      <c r="D5" s="12" t="n">
        <v>320</v>
      </c>
      <c r="E5" s="11" t="n">
        <v>480</v>
      </c>
      <c r="F5" s="7" t="inlineStr">
        <is>
          <t>Retail volume drives credibility, not profit</t>
        </is>
      </c>
    </row>
    <row r="6">
      <c r="B6" s="20" t="inlineStr">
        <is>
          <t>Insurer subscribers</t>
        </is>
      </c>
      <c r="C6" s="11" t="n">
        <v>3</v>
      </c>
      <c r="D6" s="12" t="n">
        <v>9</v>
      </c>
      <c r="E6" s="11" t="n">
        <v>15</v>
      </c>
      <c r="F6" s="7" t="inlineStr">
        <is>
          <t>The single most important number in this model</t>
        </is>
      </c>
    </row>
    <row r="7">
      <c r="B7" s="19" t="inlineStr">
        <is>
          <t>Batched days per month</t>
        </is>
      </c>
      <c r="C7" s="11" t="n">
        <v>3</v>
      </c>
      <c r="D7" s="12" t="n">
        <v>11</v>
      </c>
      <c r="E7" s="11" t="n">
        <v>20</v>
      </c>
      <c r="F7" s="7" t="inlineStr">
        <is>
          <t>The highest-margin product; entirely dependent on subscribers</t>
        </is>
      </c>
    </row>
    <row r="8">
      <c r="B8" s="19" t="inlineStr">
        <is>
          <t>Average annual subscription (₹)</t>
        </is>
      </c>
      <c r="C8" s="11" t="n">
        <v>2200000</v>
      </c>
      <c r="D8" s="12" t="n">
        <v>3400000</v>
      </c>
      <c r="E8" s="11" t="n">
        <v>4600000</v>
      </c>
      <c r="F8" s="7" t="inlineStr">
        <is>
          <t>Tier mix</t>
        </is>
      </c>
    </row>
    <row r="9">
      <c r="B9" s="19" t="inlineStr">
        <is>
          <t>Commercial matters per month</t>
        </is>
      </c>
      <c r="C9" s="11" t="n">
        <v>7</v>
      </c>
      <c r="D9" s="12" t="n">
        <v>16</v>
      </c>
      <c r="E9" s="11" t="n">
        <v>28</v>
      </c>
      <c r="F9" s="7" t="inlineStr">
        <is>
          <t>Ad valorem; broker-channel dependent</t>
        </is>
      </c>
    </row>
    <row r="10">
      <c r="B10" s="19" t="inlineStr">
        <is>
          <t>Fee-waiver share</t>
        </is>
      </c>
      <c r="C10" s="21" t="n">
        <v>0.38</v>
      </c>
      <c r="D10" s="22" t="n">
        <v>0.28</v>
      </c>
      <c r="E10" s="21" t="n">
        <v>0.22</v>
      </c>
      <c r="F10" s="7" t="inlineStr">
        <is>
          <t>Higher waivers are a cost we accept, not a failure</t>
        </is>
      </c>
    </row>
    <row r="11">
      <c r="B11" s="19" t="inlineStr">
        <is>
          <t>Retail settlement rate</t>
        </is>
      </c>
      <c r="C11" s="21" t="n">
        <v>0.44</v>
      </c>
      <c r="D11" s="22" t="n">
        <v>0.55</v>
      </c>
      <c r="E11" s="21" t="n">
        <v>0.64</v>
      </c>
      <c r="F11" s="7" t="inlineStr">
        <is>
          <t>Improves with insurer participation</t>
        </is>
      </c>
    </row>
    <row r="14">
      <c r="B14" s="5" t="inlineStr">
        <is>
          <t>What the downside case says</t>
        </is>
      </c>
    </row>
    <row r="15" ht="64" customHeight="1">
      <c r="B15" s="23" t="inlineStr">
        <is>
          <t>With two insurer subscribers and one batched day a month, this vertical does not reach EBITDA break-even within 36 months on any realistic retail volume. That is the honest finding, and it should drive the plan: the insurer sale is not an upside lever, it is the business. If two protocols are not signed by month 18, the vertical should be re-scoped as a credibility and referral asset for the platform rather than continued as a standalone P&amp;L.</t>
        </is>
      </c>
    </row>
  </sheetData>
  <mergeCells count="3">
    <mergeCell ref="A2:F2"/>
    <mergeCell ref="B15:F15"/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B21D8F-35CC-420F-9F2F-D4997A353225}"/>
</file>

<file path=customXml/itemProps2.xml><?xml version="1.0" encoding="utf-8"?>
<ds:datastoreItem xmlns:ds="http://schemas.openxmlformats.org/officeDocument/2006/customXml" ds:itemID="{A770C044-AC90-4548-9B97-A85C04A3B6D9}"/>
</file>

<file path=customXml/itemProps3.xml><?xml version="1.0" encoding="utf-8"?>
<ds:datastoreItem xmlns:ds="http://schemas.openxmlformats.org/officeDocument/2006/customXml" ds:itemID="{DB6680C0-E853-4936-8BC0-2376AEA7B0E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2026-07-21T16:14:30Z</dcterms:created>
  <dcterms:modified xsi:type="dcterms:W3CDTF">2026-07-21T16:14:30Z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