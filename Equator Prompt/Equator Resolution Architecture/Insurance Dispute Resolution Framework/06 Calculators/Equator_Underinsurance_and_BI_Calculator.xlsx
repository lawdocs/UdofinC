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&amp; 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123B4F"/>
      <sz val="12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6D5"/>
      </patternFill>
    </fill>
    <fill>
      <patternFill patternType="solid">
        <fgColor rgb="FFF3E9D2"/>
      </patternFill>
    </fill>
    <fill>
      <patternFill patternType="solid">
        <fgColor rgb="FF123B4F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5" fillId="2" borderId="1" pivotButton="0" quotePrefix="0" xfId="0"/>
    <xf numFmtId="16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3" fontId="3" fillId="3" borderId="1" pivotButton="0" quotePrefix="0" xfId="0"/>
    <xf numFmtId="0" fontId="2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3" fontId="5" fillId="3" borderId="1" pivotButton="0" quotePrefix="0" xfId="0"/>
    <xf numFmtId="9" fontId="5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4" customWidth="1" min="4" max="4"/>
    <col width="46" customWidth="1" min="5" max="5"/>
    <col width="20" customWidth="1" min="6" max="6"/>
  </cols>
  <sheetData>
    <row r="1">
      <c r="A1" s="1" t="inlineStr">
        <is>
          <t>Underinsurance, Average &amp; Business-Interruption Calculator</t>
        </is>
      </c>
    </row>
    <row r="2">
      <c r="A2" s="2" t="inlineStr">
        <is>
          <t>For commercial property and BI claims. Enter the yellow cells.</t>
        </is>
      </c>
    </row>
    <row r="4">
      <c r="B4" s="3" t="inlineStr">
        <is>
          <t>MATERIAL DAMAGE — AVERAGE</t>
        </is>
      </c>
    </row>
    <row r="5">
      <c r="B5" s="4" t="inlineStr">
        <is>
          <t>Sum insured (Rs.)</t>
        </is>
      </c>
      <c r="C5" s="5" t="n">
        <v>20000000</v>
      </c>
    </row>
    <row r="6">
      <c r="B6" s="4" t="inlineStr">
        <is>
          <t>Value at risk at the date of loss (Rs.)</t>
        </is>
      </c>
      <c r="C6" s="5" t="n">
        <v>32000000</v>
      </c>
    </row>
    <row r="7">
      <c r="B7" s="4" t="inlineStr">
        <is>
          <t>Gross assessed loss (Rs.)</t>
        </is>
      </c>
      <c r="C7" s="5" t="n">
        <v>8400000</v>
      </c>
    </row>
    <row r="8">
      <c r="B8" s="4" t="inlineStr">
        <is>
          <t>Policy deductible / excess (Rs.)</t>
        </is>
      </c>
      <c r="C8" s="5" t="n">
        <v>250000</v>
      </c>
    </row>
    <row r="9">
      <c r="B9" s="4" t="inlineStr">
        <is>
          <t>Basis of indemnity  (reinstatement / market value / agreed value)</t>
        </is>
      </c>
      <c r="C9" s="6" t="inlineStr">
        <is>
          <t>reinstatement</t>
        </is>
      </c>
    </row>
    <row r="10">
      <c r="B10" s="4" t="inlineStr">
        <is>
          <t>Depreciation / betterment applied by the surveyor (Rs.)</t>
        </is>
      </c>
      <c r="C10" s="5" t="n">
        <v>620000</v>
      </c>
    </row>
    <row r="12">
      <c r="B12" s="3" t="inlineStr">
        <is>
          <t>THE AVERAGE COMPUTATION</t>
        </is>
      </c>
    </row>
    <row r="13">
      <c r="B13" s="4" t="inlineStr">
        <is>
          <t>Adequacy of the sum insured</t>
        </is>
      </c>
      <c r="C13" s="7">
        <f>C5/C6</f>
        <v/>
      </c>
    </row>
    <row r="14">
      <c r="B14" s="4" t="inlineStr">
        <is>
          <t>Underinsurance shortfall</t>
        </is>
      </c>
      <c r="C14" s="7">
        <f>MAX(0,1-C5/C6)</f>
        <v/>
      </c>
    </row>
    <row r="15">
      <c r="B15" s="4" t="inlineStr">
        <is>
          <t>Gross assessed loss</t>
        </is>
      </c>
      <c r="C15" s="8">
        <f>C7</f>
        <v/>
      </c>
    </row>
    <row r="16">
      <c r="B16" s="4" t="inlineStr">
        <is>
          <t>Less: depreciation / betterment</t>
        </is>
      </c>
      <c r="C16" s="8">
        <f>-C10</f>
        <v/>
      </c>
    </row>
    <row r="17">
      <c r="B17" s="4" t="inlineStr">
        <is>
          <t>Net assessed loss</t>
        </is>
      </c>
      <c r="C17" s="8">
        <f>C15+C16</f>
        <v/>
      </c>
    </row>
    <row r="18">
      <c r="B18" s="4" t="inlineStr">
        <is>
          <t>Less: average applied</t>
        </is>
      </c>
      <c r="C18" s="8">
        <f>-C17*C14</f>
        <v/>
      </c>
    </row>
    <row r="19">
      <c r="B19" s="4" t="inlineStr">
        <is>
          <t>Less: deductible</t>
        </is>
      </c>
      <c r="C19" s="8">
        <f>-C8</f>
        <v/>
      </c>
    </row>
    <row r="20">
      <c r="B20" s="9" t="inlineStr">
        <is>
          <t>**Net payable after average**</t>
        </is>
      </c>
      <c r="C20" s="10">
        <f>SUM(C17:C19)</f>
        <v/>
      </c>
    </row>
    <row r="21">
      <c r="B21" s="4" t="inlineStr">
        <is>
          <t>Amount lost to underinsurance alone</t>
        </is>
      </c>
      <c r="C21" s="8">
        <f>-C18</f>
        <v/>
      </c>
    </row>
    <row r="24">
      <c r="B24" s="3" t="inlineStr">
        <is>
          <t>SENSITIVITY — WHAT A DIFFERENT VALUATION BASIS WOULD DO</t>
        </is>
      </c>
    </row>
    <row r="25" ht="30" customHeight="1">
      <c r="B25" s="11" t="inlineStr">
        <is>
          <t>The value at risk is almost always the negotiable element. This grid shows the effect of an agreed adjustment to it — the single most productive move in an underinsurance mediation.</t>
        </is>
      </c>
    </row>
    <row r="26" ht="28" customHeight="1">
      <c r="A26" s="12" t="inlineStr"/>
      <c r="B26" s="12" t="inlineStr">
        <is>
          <t>Agreed value at risk (Rs.)</t>
        </is>
      </c>
      <c r="C26" s="12" t="inlineStr">
        <is>
          <t>Adequacy</t>
        </is>
      </c>
      <c r="D26" s="12" t="inlineStr"/>
      <c r="E26" s="12" t="inlineStr">
        <is>
          <t>Average deduction (Rs.)</t>
        </is>
      </c>
      <c r="F26" s="12" t="inlineStr">
        <is>
          <t>Net payable (Rs.)</t>
        </is>
      </c>
    </row>
    <row r="27">
      <c r="B27" s="8">
        <f>$C$6*1.0</f>
        <v/>
      </c>
      <c r="C27" s="7">
        <f>$C$5/B27</f>
        <v/>
      </c>
      <c r="E27" s="8">
        <f>$C$17*MAX(0,1-$C$5/B27)</f>
        <v/>
      </c>
      <c r="F27" s="13">
        <f>$C$17-E27-$C$8</f>
        <v/>
      </c>
    </row>
    <row r="28">
      <c r="B28" s="8">
        <f>$C$6*0.95</f>
        <v/>
      </c>
      <c r="C28" s="7">
        <f>$C$5/B28</f>
        <v/>
      </c>
      <c r="E28" s="8">
        <f>$C$17*MAX(0,1-$C$5/B28)</f>
        <v/>
      </c>
      <c r="F28" s="13">
        <f>$C$17-E28-$C$8</f>
        <v/>
      </c>
    </row>
    <row r="29">
      <c r="B29" s="8">
        <f>$C$6*0.9</f>
        <v/>
      </c>
      <c r="C29" s="7">
        <f>$C$5/B29</f>
        <v/>
      </c>
      <c r="E29" s="8">
        <f>$C$17*MAX(0,1-$C$5/B29)</f>
        <v/>
      </c>
      <c r="F29" s="13">
        <f>$C$17-E29-$C$8</f>
        <v/>
      </c>
    </row>
    <row r="30">
      <c r="B30" s="8">
        <f>$C$6*0.85</f>
        <v/>
      </c>
      <c r="C30" s="7">
        <f>$C$5/B30</f>
        <v/>
      </c>
      <c r="E30" s="8">
        <f>$C$17*MAX(0,1-$C$5/B30)</f>
        <v/>
      </c>
      <c r="F30" s="13">
        <f>$C$17-E30-$C$8</f>
        <v/>
      </c>
    </row>
    <row r="31">
      <c r="B31" s="8">
        <f>$C$6*0.8</f>
        <v/>
      </c>
      <c r="C31" s="7">
        <f>$C$5/B31</f>
        <v/>
      </c>
      <c r="E31" s="8">
        <f>$C$17*MAX(0,1-$C$5/B31)</f>
        <v/>
      </c>
      <c r="F31" s="13">
        <f>$C$17-E31-$C$8</f>
        <v/>
      </c>
    </row>
    <row r="32">
      <c r="B32" s="8">
        <f>$C$6*0.75</f>
        <v/>
      </c>
      <c r="C32" s="7">
        <f>$C$5/B32</f>
        <v/>
      </c>
      <c r="E32" s="8">
        <f>$C$17*MAX(0,1-$C$5/B32)</f>
        <v/>
      </c>
      <c r="F32" s="13">
        <f>$C$17-E32-$C$8</f>
        <v/>
      </c>
    </row>
    <row r="35">
      <c r="B35" s="3" t="inlineStr">
        <is>
          <t>BUSINESS INTERRUPTION</t>
        </is>
      </c>
    </row>
    <row r="36">
      <c r="B36" s="4" t="inlineStr">
        <is>
          <t>Annual gross profit (Rs.)</t>
        </is>
      </c>
      <c r="C36" s="5" t="n">
        <v>60000000</v>
      </c>
    </row>
    <row r="37">
      <c r="B37" s="4" t="inlineStr">
        <is>
          <t>Indemnity period (months)</t>
        </is>
      </c>
      <c r="C37" s="5" t="n">
        <v>12</v>
      </c>
    </row>
    <row r="38">
      <c r="B38" s="4" t="inlineStr">
        <is>
          <t>Actual interruption (months)</t>
        </is>
      </c>
      <c r="C38" s="5" t="n">
        <v>5</v>
      </c>
    </row>
    <row r="39">
      <c r="B39" s="4" t="inlineStr">
        <is>
          <t>Rate of gross profit</t>
        </is>
      </c>
      <c r="C39" s="14" t="n">
        <v>0.32</v>
      </c>
    </row>
    <row r="40">
      <c r="B40" s="4" t="inlineStr">
        <is>
          <t>Turnover lost in the interruption (Rs.)</t>
        </is>
      </c>
      <c r="C40" s="5" t="n">
        <v>24000000</v>
      </c>
    </row>
    <row r="41">
      <c r="B41" s="4" t="inlineStr">
        <is>
          <t>Increased cost of working (Rs.)</t>
        </is>
      </c>
      <c r="C41" s="5" t="n">
        <v>1800000</v>
      </c>
    </row>
    <row r="42">
      <c r="B42" s="4" t="inlineStr">
        <is>
          <t>Savings in charges (Rs.)</t>
        </is>
      </c>
      <c r="C42" s="5" t="n">
        <v>400000</v>
      </c>
    </row>
    <row r="43">
      <c r="B43" s="4" t="inlineStr">
        <is>
          <t>BI sum insured (Rs.)</t>
        </is>
      </c>
      <c r="C43" s="5" t="n">
        <v>55000000</v>
      </c>
    </row>
    <row r="45">
      <c r="B45" s="3" t="inlineStr">
        <is>
          <t>BI COMPUTATION</t>
        </is>
      </c>
    </row>
    <row r="46">
      <c r="B46" s="4" t="inlineStr">
        <is>
          <t>Loss of gross profit (turnover lost x rate)</t>
        </is>
      </c>
      <c r="C46" s="8">
        <f>C40*C39</f>
        <v/>
      </c>
    </row>
    <row r="47">
      <c r="B47" s="4" t="inlineStr">
        <is>
          <t>Add: increased cost of working</t>
        </is>
      </c>
      <c r="C47" s="8">
        <f>C41</f>
        <v/>
      </c>
    </row>
    <row r="48">
      <c r="B48" s="4" t="inlineStr">
        <is>
          <t>Less: savings in charges</t>
        </is>
      </c>
      <c r="C48" s="8">
        <f>-C42</f>
        <v/>
      </c>
    </row>
    <row r="49">
      <c r="B49" s="4" t="inlineStr">
        <is>
          <t>Gross BI claim</t>
        </is>
      </c>
      <c r="C49" s="8">
        <f>SUM(C46:C48)</f>
        <v/>
      </c>
    </row>
    <row r="50">
      <c r="B50" s="4" t="inlineStr">
        <is>
          <t>BI adequacy (sum insured / annual gross profit)</t>
        </is>
      </c>
      <c r="C50" s="7">
        <f>C43/C36</f>
        <v/>
      </c>
    </row>
    <row r="51">
      <c r="B51" s="4" t="inlineStr">
        <is>
          <t>Average applied to BI</t>
        </is>
      </c>
      <c r="C51" s="8">
        <f>-C49*MAX(0,1-C43/C36)</f>
        <v/>
      </c>
    </row>
    <row r="52">
      <c r="B52" s="9" t="inlineStr">
        <is>
          <t>**Net BI payable**</t>
        </is>
      </c>
      <c r="C52" s="10">
        <f>C49+C51</f>
        <v/>
      </c>
    </row>
    <row r="53">
      <c r="B53" s="4" t="inlineStr">
        <is>
          <t>Interruption within the indemnity period?</t>
        </is>
      </c>
      <c r="C53" s="15">
        <f>IF(C38&lt;=C37,"YES","NO — capped at the indemnity period")</f>
        <v/>
      </c>
    </row>
    <row r="55">
      <c r="B55" s="3" t="inlineStr">
        <is>
          <t>**Total material damage + BI**</t>
        </is>
      </c>
      <c r="C55" s="10">
        <f>C20+C52</f>
        <v/>
      </c>
    </row>
  </sheetData>
  <mergeCells count="3">
    <mergeCell ref="A2:F2"/>
    <mergeCell ref="A1:F1"/>
    <mergeCell ref="B25:F2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CD95F-8D2B-4AFC-A805-1848D66C1966}"/>
</file>

<file path=customXml/itemProps2.xml><?xml version="1.0" encoding="utf-8"?>
<ds:datastoreItem xmlns:ds="http://schemas.openxmlformats.org/officeDocument/2006/customXml" ds:itemID="{AD08861C-B32B-45D0-86AA-47301C20ED77}"/>
</file>

<file path=customXml/itemProps3.xml><?xml version="1.0" encoding="utf-8"?>
<ds:datastoreItem xmlns:ds="http://schemas.openxmlformats.org/officeDocument/2006/customXml" ds:itemID="{F9494DA4-C5F0-4BA6-A2AA-28D294D282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2026-07-21T15:49:46Z</dcterms:created>
  <dcterms:modified xsi:type="dcterms:W3CDTF">2026-07-21T15:49:46Z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