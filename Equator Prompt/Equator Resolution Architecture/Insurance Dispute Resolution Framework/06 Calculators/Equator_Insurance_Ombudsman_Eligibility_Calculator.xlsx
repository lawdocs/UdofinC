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 &amp; C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b val="1"/>
      <color rgb="FF123B4F"/>
      <sz val="12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FF6D5"/>
      </patternFill>
    </fill>
    <fill>
      <patternFill patternType="solid">
        <fgColor rgb="FF123B4F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5" fillId="2" borderId="1" pivotButton="0" quotePrefix="0" xfId="0"/>
    <xf numFmtId="3" fontId="5" fillId="2" borderId="1" pivotButton="0" quotePrefix="0" xfId="0"/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164" fontId="5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D8ECE2"/>
        </patternFill>
      </fill>
    </dxf>
    <dxf>
      <fill>
        <patternFill patternType="solid">
          <fgColor rgb="FFF4DCE0"/>
        </patternFill>
      </fill>
    </dxf>
    <dxf>
      <fill>
        <patternFill patternType="solid">
          <fgColor rgb="FFF3E9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16" customWidth="1" min="4" max="4"/>
    <col width="62" customWidth="1" min="5" max="5"/>
  </cols>
  <sheetData>
    <row r="1">
      <c r="A1" s="1" t="inlineStr">
        <is>
          <t>Insurance Ombudsman Eligibility &amp; Clock Calculator</t>
        </is>
      </c>
    </row>
    <row r="2">
      <c r="A2" s="2" t="inlineStr">
        <is>
          <t>Enter the yellow cells. The calculator tests all five eligibility conditions and computes every last date to act.</t>
        </is>
      </c>
    </row>
    <row r="4">
      <c r="B4" s="3" t="inlineStr">
        <is>
          <t>INPUTS</t>
        </is>
      </c>
    </row>
    <row r="5">
      <c r="B5" s="4" t="inlineStr">
        <is>
          <t>Today's date</t>
        </is>
      </c>
      <c r="C5" s="5">
        <f>TODAY()</f>
        <v/>
      </c>
    </row>
    <row r="6">
      <c r="B6" s="4" t="inlineStr">
        <is>
          <t>Date of the loss / event (cause of action)</t>
        </is>
      </c>
      <c r="C6" s="5" t="inlineStr">
        <is>
          <t>2026-01-10</t>
        </is>
      </c>
    </row>
    <row r="7">
      <c r="B7" s="4" t="inlineStr">
        <is>
          <t>Date of the insurer's repudiation or short-settlement letter</t>
        </is>
      </c>
      <c r="C7" s="5" t="inlineStr">
        <is>
          <t>2026-03-05</t>
        </is>
      </c>
    </row>
    <row r="8">
      <c r="B8" s="4" t="inlineStr">
        <is>
          <t>Date of your written representation to the insurer</t>
        </is>
      </c>
      <c r="C8" s="5" t="inlineStr">
        <is>
          <t>2026-03-20</t>
        </is>
      </c>
    </row>
    <row r="9">
      <c r="B9" s="4" t="inlineStr">
        <is>
          <t>Date of the insurer's reply (leave blank if none)</t>
        </is>
      </c>
      <c r="C9" s="5" t="inlineStr">
        <is>
          <t>2026-04-02</t>
        </is>
      </c>
    </row>
    <row r="10">
      <c r="B10" s="4" t="inlineStr">
        <is>
          <t>Reply outcome  (rejected / unsatisfactory / satisfactory / none)</t>
        </is>
      </c>
      <c r="C10" s="6" t="inlineStr">
        <is>
          <t>rejected</t>
        </is>
      </c>
    </row>
    <row r="11">
      <c r="B11" s="4" t="inlineStr">
        <is>
          <t>Amount in dispute (Rs.)</t>
        </is>
      </c>
      <c r="C11" s="7" t="n">
        <v>480000</v>
      </c>
    </row>
    <row r="12">
      <c r="B12" s="4" t="inlineStr">
        <is>
          <t>Is the same matter pending before a court, consumer commission or arbitrator?  (Y/N)</t>
        </is>
      </c>
      <c r="C12" s="6" t="inlineStr">
        <is>
          <t>N</t>
        </is>
      </c>
    </row>
    <row r="13">
      <c r="B13" s="4" t="inlineStr">
        <is>
          <t>Policy suit-time-bar in the wording (months, 0 if none)</t>
        </is>
      </c>
      <c r="C13" s="7" t="n">
        <v>12</v>
      </c>
    </row>
    <row r="15">
      <c r="B15" s="3" t="inlineStr">
        <is>
          <t>THE FIVE ELIGIBILITY CONDITIONS</t>
        </is>
      </c>
    </row>
    <row r="16" ht="28" customHeight="1">
      <c r="A16" s="8" t="inlineStr"/>
      <c r="B16" s="8" t="inlineStr">
        <is>
          <t>Condition</t>
        </is>
      </c>
      <c r="C16" s="8" t="inlineStr">
        <is>
          <t>Result</t>
        </is>
      </c>
      <c r="D16" s="8" t="inlineStr">
        <is>
          <t>Pass?</t>
        </is>
      </c>
      <c r="E16" s="8" t="inlineStr">
        <is>
          <t>If it fails</t>
        </is>
      </c>
    </row>
    <row r="17" ht="30" customHeight="1">
      <c r="B17" s="9" t="inlineStr">
        <is>
          <t>1.  Written representation made to the insurer</t>
        </is>
      </c>
      <c r="C17" s="10">
        <f>IF(C8&lt;&gt;"","Made on "&amp;TEXT(C8,"dd-mmm-yyyy"),"NOT MADE")</f>
        <v/>
      </c>
      <c r="D17" s="11">
        <f>IF(C8&lt;&gt;"","YES","NO")</f>
        <v/>
      </c>
      <c r="E17" s="9" t="inlineStr">
        <is>
          <t>Issue Form F-I04 today. Nothing else is possible until this is done.</t>
        </is>
      </c>
    </row>
    <row r="18" ht="30" customHeight="1">
      <c r="B18" s="9" t="inlineStr">
        <is>
          <t>2.  Rejected, no reply within 30 days, or unsatisfactory reply</t>
        </is>
      </c>
      <c r="C18" s="10">
        <f>IF(OR(LOWER(C10)="rejected",LOWER(C10)="unsatisfactory"),"Reply "&amp;C10,IF(C5-C8&gt;30,"No reply in 30 days","Within the 30-day window"))</f>
        <v/>
      </c>
      <c r="D18" s="11">
        <f>IF(OR(LOWER(C10)="rejected",LOWER(C10)="unsatisfactory",C5-C8&gt;30),"YES","NO")</f>
        <v/>
      </c>
      <c r="E18" s="9" t="inlineStr">
        <is>
          <t>Wait until 30 days have run from the representation, then re-test.</t>
        </is>
      </c>
    </row>
    <row r="19" ht="30" customHeight="1">
      <c r="B19" s="9" t="inlineStr">
        <is>
          <t>3.  Within one year of the reply (or of the 30-day expiry)</t>
        </is>
      </c>
      <c r="C19" s="10">
        <f>TEXT(IF(C9&lt;&gt;"",C9,C8+30)+365,"dd-mmm-yyyy")</f>
        <v/>
      </c>
      <c r="D19" s="11">
        <f>IF(C5&lt;=IF(C9&lt;&gt;"",C9,C8+30)+365,"YES","NO")</f>
        <v/>
      </c>
      <c r="E19" s="9" t="inlineStr">
        <is>
          <t>The Ombudsman route has closed. Route to the consumer commission and say so in writing.</t>
        </is>
      </c>
    </row>
    <row r="20" ht="30" customHeight="1">
      <c r="B20" s="9" t="inlineStr">
        <is>
          <t>4.  Amount in dispute within Rs.50,00,000</t>
        </is>
      </c>
      <c r="C20" s="10">
        <f>TEXT(C11,"#,##0")</f>
        <v/>
      </c>
      <c r="D20" s="11">
        <f>IF(C11&lt;=5000000,"YES","NO")</f>
        <v/>
      </c>
      <c r="E20" s="9" t="inlineStr">
        <is>
          <t>Monetary jurisdiction exceeded. Consumer commission by value tier, or civil court.</t>
        </is>
      </c>
    </row>
    <row r="21" ht="30" customHeight="1">
      <c r="B21" s="9" t="inlineStr">
        <is>
          <t>5.  Not pending before / decided by a court, commission or arbitrator</t>
        </is>
      </c>
      <c r="C21" s="10">
        <f>IF(UPPER(C12)="N","Nothing pending","Pending elsewhere")</f>
        <v/>
      </c>
      <c r="D21" s="11">
        <f>IF(UPPER(C12)="N","YES","NO")</f>
        <v/>
      </c>
      <c r="E21" s="9" t="inlineStr">
        <is>
          <t>The Ombudsman cannot entertain it. Continue in the forum where it is pending.</t>
        </is>
      </c>
    </row>
    <row r="23">
      <c r="B23" s="3" t="inlineStr">
        <is>
          <t>VERDICT</t>
        </is>
      </c>
    </row>
    <row r="24" ht="34" customHeight="1">
      <c r="B24" s="12">
        <f>IF(COUNTIF(D17:D21,"YES")=5,"ELIGIBLE — file with the Insurance Ombudsman. It is free, you do not need a lawyer, and the award binds the insurer up to Rs.30,00,000.","NOT ELIGIBLE on all five conditions — see the failing row(s) and the fallback route in column E.")</f>
        <v/>
      </c>
    </row>
    <row r="26">
      <c r="B26" s="3" t="inlineStr">
        <is>
          <t>THE CLOCKS — LAST DATE TO ACT</t>
        </is>
      </c>
    </row>
    <row r="27" ht="28" customHeight="1">
      <c r="A27" s="8" t="inlineStr"/>
      <c r="B27" s="8" t="inlineStr">
        <is>
          <t>Clock</t>
        </is>
      </c>
      <c r="C27" s="8" t="inlineStr">
        <is>
          <t>Expiry date</t>
        </is>
      </c>
      <c r="D27" s="8" t="inlineStr">
        <is>
          <t>Days left</t>
        </is>
      </c>
      <c r="E27" s="8" t="inlineStr">
        <is>
          <t>Note</t>
        </is>
      </c>
    </row>
    <row r="28" ht="30" customHeight="1">
      <c r="B28" s="9" t="inlineStr">
        <is>
          <t>Insurer's 30-day reply window</t>
        </is>
      </c>
      <c r="C28" s="13">
        <f>C8+30</f>
        <v/>
      </c>
      <c r="D28" s="11">
        <f>IF(ISNUMBER(C28),C28-$C$5,"n/a")</f>
        <v/>
      </c>
      <c r="E28" s="9" t="inlineStr">
        <is>
          <t>After this, the Ombudsman route opens even without a reply.</t>
        </is>
      </c>
    </row>
    <row r="29" ht="30" customHeight="1">
      <c r="B29" s="9" t="inlineStr">
        <is>
          <t>**Insurance Ombudsman — last date to file**</t>
        </is>
      </c>
      <c r="C29" s="13">
        <f>IF(C9&lt;&gt;"",C9,C8+30)+365</f>
        <v/>
      </c>
      <c r="D29" s="11">
        <f>IF(ISNUMBER(C29),C29-$C$5,"n/a")</f>
        <v/>
      </c>
      <c r="E29" s="9" t="inlineStr">
        <is>
          <t>One year. Mediation does NOT extend this. Prompt the party to file 60 days before this date.</t>
        </is>
      </c>
    </row>
    <row r="30" ht="30" customHeight="1">
      <c r="B30" s="9" t="inlineStr">
        <is>
          <t>Consumer commission — ordinary limitation</t>
        </is>
      </c>
      <c r="C30" s="13">
        <f>C6+730</f>
        <v/>
      </c>
      <c r="D30" s="11">
        <f>IF(ISNUMBER(C30),C30-$C$5,"n/a")</f>
        <v/>
      </c>
      <c r="E30" s="9" t="inlineStr">
        <is>
          <t>Two years from the cause of action, subject to condonation. Filing here closes the Ombudsman route.</t>
        </is>
      </c>
    </row>
    <row r="31" ht="30" customHeight="1">
      <c r="B31" s="9" t="inlineStr">
        <is>
          <t>Policy suit-time-bar in the wording</t>
        </is>
      </c>
      <c r="C31" s="13">
        <f>IF(C13=0,"n/a",EDATE(C7,C13))</f>
        <v/>
      </c>
      <c r="D31" s="11">
        <f>IF(ISNUMBER(C31),C31-$C$5,"n/a")</f>
        <v/>
      </c>
      <c r="E31" s="9" t="inlineStr">
        <is>
          <t>Insurers take the point; enforceability is contestable. [verify]</t>
        </is>
      </c>
    </row>
    <row r="34" ht="30" customHeight="1">
      <c r="B34" s="14" t="inlineStr">
        <is>
          <t>Law stated as at July 2026. [verify] The Ombudsman's monetary jurisdiction (Rs.50 lakh), the binding limit (Rs.30 lakh) and the centre list have been amended more than once — confirm against the Council for Insurance Ombudsmen before filing.</t>
        </is>
      </c>
    </row>
  </sheetData>
  <mergeCells count="4">
    <mergeCell ref="A2:E2"/>
    <mergeCell ref="A1:E1"/>
    <mergeCell ref="B24:E24"/>
    <mergeCell ref="B34:E34"/>
  </mergeCells>
  <conditionalFormatting sqref="D17:D21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B24">
    <cfRule type="cellIs" priority="3" operator="containsText" dxfId="0">
      <formula>SEARCH("ELIGIBLE —",B24)</formula>
    </cfRule>
  </conditionalFormatting>
  <conditionalFormatting sqref="D28:D31">
    <cfRule type="cellIs" priority="4" operator="lessThan" dxfId="1">
      <formula>60</formula>
    </cfRule>
    <cfRule type="cellIs" priority="5" operator="between" dxfId="2">
      <formula>60</formula>
      <formula>120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C1A3E8-79A1-4FAC-BE24-11F64138D496}"/>
</file>

<file path=customXml/itemProps2.xml><?xml version="1.0" encoding="utf-8"?>
<ds:datastoreItem xmlns:ds="http://schemas.openxmlformats.org/officeDocument/2006/customXml" ds:itemID="{B6A05ECD-ABFA-424F-A367-6552FC191E7A}"/>
</file>

<file path=customXml/itemProps3.xml><?xml version="1.0" encoding="utf-8"?>
<ds:datastoreItem xmlns:ds="http://schemas.openxmlformats.org/officeDocument/2006/customXml" ds:itemID="{69B759EF-293C-48CF-B5C8-CB82671B63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2026-07-21T15:49:46Z</dcterms:created>
  <dcterms:modified xsi:type="dcterms:W3CDTF">2026-07-21T15:49:46Z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