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duction Analyser" sheetId="1" state="visible" r:id="rId1"/>
  </sheets>
  <definedNames/>
  <calcPr calcId="124519" fullCalcOnLoad="1"/>
</workbook>
</file>

<file path=xl/styles.xml><?xml version="1.0" encoding="utf-8"?>
<styleSheet xmlns="http://schemas.openxmlformats.org/spreadsheetml/2006/main">
  <numFmts count="2">
    <numFmt numFmtId="164" formatCode="dd-mmm-yyyy"/>
    <numFmt numFmtId="165" formatCode="0.0%"/>
  </numFmts>
  <fonts count="7">
    <font>
      <name val="Calibri"/>
      <family val="2"/>
      <color theme="1"/>
      <sz val="11"/>
      <scheme val="minor"/>
    </font>
    <font>
      <name val="Arial"/>
      <b val="1"/>
      <color rgb="FF123B4F"/>
      <sz val="15"/>
    </font>
    <font>
      <name val="Arial"/>
      <i val="1"/>
      <color rgb="FF556168"/>
      <sz val="10"/>
    </font>
    <font>
      <name val="Arial"/>
      <b val="1"/>
      <color rgb="FF123B4F"/>
      <sz val="12"/>
    </font>
    <font>
      <name val="Arial"/>
      <color rgb="FF1B2A32"/>
      <sz val="10"/>
    </font>
    <font>
      <name val="Arial"/>
      <b val="1"/>
      <color rgb="FF123B4F"/>
      <sz val="10"/>
    </font>
    <font>
      <name val="Arial"/>
      <b val="1"/>
      <color rgb="FFFFFFFF"/>
      <sz val="10"/>
    </font>
  </fonts>
  <fills count="5">
    <fill>
      <patternFill/>
    </fill>
    <fill>
      <patternFill patternType="gray125"/>
    </fill>
    <fill>
      <patternFill patternType="solid">
        <fgColor rgb="FFFFF6D5"/>
      </patternFill>
    </fill>
    <fill>
      <patternFill patternType="solid">
        <fgColor rgb="FFF3E9D2"/>
      </patternFill>
    </fill>
    <fill>
      <patternFill patternType="solid">
        <fgColor rgb="FF123B4F"/>
      </patternFill>
    </fill>
  </fills>
  <borders count="5">
    <border>
      <left/>
      <right/>
      <top/>
      <bottom/>
      <diagonal/>
    </border>
    <border>
      <left style="thin">
        <color rgb="FFC4D0D6"/>
      </left>
      <right style="thin">
        <color rgb="FFC4D0D6"/>
      </right>
      <top style="thin">
        <color rgb="FFC4D0D6"/>
      </top>
      <bottom style="thin">
        <color rgb="FFC4D0D6"/>
      </bottom>
    </border>
    <border>
      <left/>
      <right/>
      <top style="thin">
        <color rgb="FFC4D0D6"/>
      </top>
      <bottom/>
      <diagonal/>
    </border>
    <border>
      <left/>
      <right style="thin">
        <color rgb="FFC4D0D6"/>
      </right>
      <top style="thin">
        <color rgb="FFC4D0D6"/>
      </top>
      <bottom/>
      <diagonal/>
    </border>
    <border>
      <left/>
      <right style="thin">
        <color rgb="FFC4D0D6"/>
      </right>
      <top style="thin">
        <color rgb="FFC4D0D6"/>
      </top>
      <bottom style="thin">
        <color rgb="FFC4D0D6"/>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5" fillId="2" borderId="1" pivotButton="0" quotePrefix="0" xfId="0"/>
    <xf numFmtId="165" fontId="5" fillId="3" borderId="1" pivotButton="0" quotePrefix="0" xfId="0"/>
    <xf numFmtId="0" fontId="5" fillId="0" borderId="1" applyAlignment="1" pivotButton="0" quotePrefix="0" xfId="0">
      <alignment vertical="top" wrapText="1"/>
    </xf>
    <xf numFmtId="0" fontId="0" fillId="0" borderId="4" pivotButton="0" quotePrefix="0" xfId="0"/>
    <xf numFmtId="9" fontId="5" fillId="2" borderId="1" pivotButton="0" quotePrefix="0" xfId="0"/>
    <xf numFmtId="164" fontId="5" fillId="2" borderId="1" pivotButton="0" quotePrefix="0" xfId="0"/>
    <xf numFmtId="0" fontId="6" fillId="4" borderId="1" applyAlignment="1" pivotButton="0" quotePrefix="0" xfId="0">
      <alignment vertical="center" wrapText="1"/>
    </xf>
    <xf numFmtId="0" fontId="4" fillId="0" borderId="1" pivotButton="0" quotePrefix="0" xfId="0"/>
    <xf numFmtId="3" fontId="4" fillId="2" borderId="1" pivotButton="0" quotePrefix="0" xfId="0"/>
    <xf numFmtId="3" fontId="5" fillId="0" borderId="1" pivotButton="0" quotePrefix="0" xfId="0"/>
    <xf numFmtId="0" fontId="4" fillId="2" borderId="1" applyAlignment="1" pivotButton="0" quotePrefix="0" xfId="0">
      <alignment horizontal="center"/>
    </xf>
    <xf numFmtId="0" fontId="4" fillId="0" borderId="1" applyAlignment="1" pivotButton="0" quotePrefix="0" xfId="0">
      <alignment vertical="top" wrapText="1"/>
    </xf>
    <xf numFmtId="3" fontId="3" fillId="3" borderId="1" pivotButton="0" quotePrefix="0" xfId="0"/>
    <xf numFmtId="0" fontId="4" fillId="0" borderId="0" applyAlignment="1" pivotButton="0" quotePrefix="0" xfId="0">
      <alignment vertical="top" wrapText="1"/>
    </xf>
    <xf numFmtId="3" fontId="5" fillId="3" borderId="1"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3" customWidth="1" min="1" max="1"/>
    <col width="34" customWidth="1" min="2" max="2"/>
    <col width="15" customWidth="1" min="3" max="3"/>
    <col width="15" customWidth="1" min="4" max="4"/>
    <col width="15" customWidth="1" min="5" max="5"/>
    <col width="15" customWidth="1" min="6" max="6"/>
    <col width="26" customWidth="1" min="7" max="7"/>
    <col width="40" customWidth="1" min="8" max="8"/>
  </cols>
  <sheetData>
    <row r="1">
      <c r="A1" s="1" t="inlineStr">
        <is>
          <t>Health Claim Deduction Analyser</t>
        </is>
      </c>
    </row>
    <row r="2">
      <c r="A2" s="2" t="inlineStr">
        <is>
          <t>Enter the bill line by line in yellow. The analyser totals the deductions, recomputes room-rent proportionality correctly, and flags the two errors insurers make most often.</t>
        </is>
      </c>
    </row>
    <row r="4">
      <c r="B4" s="3" t="inlineStr">
        <is>
          <t>POLICY &amp; ADMISSION</t>
        </is>
      </c>
    </row>
    <row r="5">
      <c r="B5" s="4" t="inlineStr">
        <is>
          <t>Sum insured (Rs.)</t>
        </is>
      </c>
      <c r="C5" s="5" t="n">
        <v>500000</v>
      </c>
      <c r="E5" s="4" t="inlineStr">
        <is>
          <t>Proportionality factor (eligible / charged)</t>
        </is>
      </c>
      <c r="G5" s="6">
        <f>MIN(1,C6/C7)</f>
        <v/>
      </c>
    </row>
    <row r="6" ht="28" customHeight="1">
      <c r="B6" s="4" t="inlineStr">
        <is>
          <t>Eligible room rent per day (Rs.)</t>
        </is>
      </c>
      <c r="C6" s="5" t="n">
        <v>5000</v>
      </c>
      <c r="E6" s="4" t="inlineStr">
        <is>
          <t>PED waiting period completed by admission?</t>
        </is>
      </c>
      <c r="G6" s="7">
        <f>IF(DATEDIF(C10,C12,"m")&gt;=C11,"YES — completed "&amp;DATEDIF(C10,C12,"m")&amp;" months of cover","NO — only "&amp;DATEDIF(C10,C12,"m")&amp;" months")</f>
        <v/>
      </c>
      <c r="H6" s="8" t="n"/>
    </row>
    <row r="7">
      <c r="B7" s="4" t="inlineStr">
        <is>
          <t>Room rent actually charged per day (Rs.)</t>
        </is>
      </c>
      <c r="C7" s="5" t="n">
        <v>8000</v>
      </c>
    </row>
    <row r="8">
      <c r="B8" s="4" t="inlineStr">
        <is>
          <t>Number of days</t>
        </is>
      </c>
      <c r="C8" s="5" t="n">
        <v>4</v>
      </c>
    </row>
    <row r="9">
      <c r="B9" s="4" t="inlineStr">
        <is>
          <t>Co-pay % in the policy</t>
        </is>
      </c>
      <c r="C9" s="9" t="n">
        <v>0.1</v>
      </c>
    </row>
    <row r="10">
      <c r="B10" s="4" t="inlineStr">
        <is>
          <t>Policy first-ever inception date</t>
        </is>
      </c>
      <c r="C10" s="10" t="inlineStr">
        <is>
          <t>2019-06-01</t>
        </is>
      </c>
    </row>
    <row r="11">
      <c r="B11" s="4" t="inlineStr">
        <is>
          <t>PED waiting period in the policy (months)</t>
        </is>
      </c>
      <c r="C11" s="5" t="n">
        <v>36</v>
      </c>
    </row>
    <row r="12">
      <c r="B12" s="4" t="inlineStr">
        <is>
          <t>Date of admission</t>
        </is>
      </c>
      <c r="C12" s="10" t="inlineStr">
        <is>
          <t>2026-03-12</t>
        </is>
      </c>
    </row>
    <row r="15">
      <c r="B15" s="3" t="inlineStr">
        <is>
          <t>LINE-ITEM SCHEDULE</t>
        </is>
      </c>
    </row>
    <row r="16" ht="28" customHeight="1">
      <c r="A16" s="11" t="inlineStr"/>
      <c r="B16" s="11" t="inlineStr">
        <is>
          <t>Head of charge</t>
        </is>
      </c>
      <c r="C16" s="11" t="inlineStr">
        <is>
          <t>Billed (Rs.)</t>
        </is>
      </c>
      <c r="D16" s="11" t="inlineStr">
        <is>
          <t>Allowed (Rs.)</t>
        </is>
      </c>
      <c r="E16" s="11" t="inlineStr">
        <is>
          <t>Deducted (Rs.)</t>
        </is>
      </c>
      <c r="F16" s="11" t="inlineStr">
        <is>
          <t>Varies with room?</t>
        </is>
      </c>
      <c r="G16" s="11" t="inlineStr">
        <is>
          <t>Reason given by insurer</t>
        </is>
      </c>
      <c r="H16" s="11" t="inlineStr">
        <is>
          <t>Your answer</t>
        </is>
      </c>
    </row>
    <row r="17" ht="26" customHeight="1">
      <c r="B17" s="12" t="inlineStr">
        <is>
          <t>Room rent</t>
        </is>
      </c>
      <c r="C17" s="13" t="n">
        <v>32000</v>
      </c>
      <c r="D17" s="13" t="n">
        <v>20000</v>
      </c>
      <c r="E17" s="14">
        <f>C17-D17</f>
        <v/>
      </c>
      <c r="F17" s="15" t="inlineStr">
        <is>
          <t>Y</t>
        </is>
      </c>
      <c r="G17" s="16" t="inlineStr">
        <is>
          <t>Above eligible category</t>
        </is>
      </c>
      <c r="H17" s="16" t="inlineStr">
        <is>
          <t>Eligible rent x days = correct cap</t>
        </is>
      </c>
    </row>
    <row r="18" ht="26" customHeight="1">
      <c r="B18" s="12" t="inlineStr">
        <is>
          <t>Nursing charges</t>
        </is>
      </c>
      <c r="C18" s="13" t="n">
        <v>18000</v>
      </c>
      <c r="D18" s="13" t="n">
        <v>11250</v>
      </c>
      <c r="E18" s="14">
        <f>C18-D18</f>
        <v/>
      </c>
      <c r="F18" s="15" t="inlineStr">
        <is>
          <t>Y</t>
        </is>
      </c>
      <c r="G18" s="16" t="inlineStr">
        <is>
          <t>Proportionate deduction</t>
        </is>
      </c>
      <c r="H18" s="16" t="inlineStr">
        <is>
          <t>Varies with room — proportionality applies</t>
        </is>
      </c>
    </row>
    <row r="19" ht="26" customHeight="1">
      <c r="B19" s="12" t="inlineStr">
        <is>
          <t>Surgeon's fee</t>
        </is>
      </c>
      <c r="C19" s="13" t="n">
        <v>150000</v>
      </c>
      <c r="D19" s="13" t="n">
        <v>93750</v>
      </c>
      <c r="E19" s="14">
        <f>C19-D19</f>
        <v/>
      </c>
      <c r="F19" s="15" t="inlineStr">
        <is>
          <t>N</t>
        </is>
      </c>
      <c r="G19" s="16" t="inlineStr">
        <is>
          <t>Proportionate deduction</t>
        </is>
      </c>
      <c r="H19" s="16" t="inlineStr">
        <is>
          <t>Does NOT vary with room category — proportionality is wrongly applied</t>
        </is>
      </c>
    </row>
    <row r="20" ht="26" customHeight="1">
      <c r="B20" s="12" t="inlineStr">
        <is>
          <t>Anaesthetist</t>
        </is>
      </c>
      <c r="C20" s="13" t="n">
        <v>45000</v>
      </c>
      <c r="D20" s="13" t="n">
        <v>28125</v>
      </c>
      <c r="E20" s="14">
        <f>C20-D20</f>
        <v/>
      </c>
      <c r="F20" s="15" t="inlineStr">
        <is>
          <t>N</t>
        </is>
      </c>
      <c r="G20" s="16" t="inlineStr">
        <is>
          <t>Proportionate deduction</t>
        </is>
      </c>
      <c r="H20" s="16" t="inlineStr">
        <is>
          <t>Does not vary with room</t>
        </is>
      </c>
    </row>
    <row r="21" ht="26" customHeight="1">
      <c r="B21" s="12" t="inlineStr">
        <is>
          <t>Implant / stent</t>
        </is>
      </c>
      <c r="C21" s="13" t="n">
        <v>165000</v>
      </c>
      <c r="D21" s="13" t="n">
        <v>103125</v>
      </c>
      <c r="E21" s="14">
        <f>C21-D21</f>
        <v/>
      </c>
      <c r="F21" s="15" t="inlineStr">
        <is>
          <t>N</t>
        </is>
      </c>
      <c r="G21" s="16" t="inlineStr">
        <is>
          <t>Proportionate deduction</t>
        </is>
      </c>
      <c r="H21" s="16" t="inlineStr">
        <is>
          <t>Does not vary with room</t>
        </is>
      </c>
    </row>
    <row r="22" ht="26" customHeight="1">
      <c r="B22" s="12" t="inlineStr">
        <is>
          <t>Investigations</t>
        </is>
      </c>
      <c r="C22" s="13" t="n">
        <v>40000</v>
      </c>
      <c r="D22" s="13" t="n">
        <v>25000</v>
      </c>
      <c r="E22" s="14">
        <f>C22-D22</f>
        <v/>
      </c>
      <c r="F22" s="15" t="inlineStr">
        <is>
          <t>N</t>
        </is>
      </c>
      <c r="G22" s="16" t="inlineStr">
        <is>
          <t>Proportionate deduction</t>
        </is>
      </c>
      <c r="H22" s="16" t="inlineStr">
        <is>
          <t>Does not vary with room</t>
        </is>
      </c>
    </row>
    <row r="23" ht="26" customHeight="1">
      <c r="B23" s="12" t="inlineStr">
        <is>
          <t>Pharmacy</t>
        </is>
      </c>
      <c r="C23" s="13" t="n">
        <v>38000</v>
      </c>
      <c r="D23" s="13" t="n">
        <v>28000</v>
      </c>
      <c r="E23" s="14">
        <f>C23-D23</f>
        <v/>
      </c>
      <c r="F23" s="15" t="inlineStr">
        <is>
          <t>N</t>
        </is>
      </c>
      <c r="G23" s="16" t="inlineStr">
        <is>
          <t>Consumables excluded</t>
        </is>
      </c>
      <c r="H23" s="16" t="inlineStr">
        <is>
          <t>Some items are integral to the procedure</t>
        </is>
      </c>
    </row>
    <row r="24" ht="26" customHeight="1">
      <c r="B24" s="12" t="inlineStr">
        <is>
          <t>Consumables</t>
        </is>
      </c>
      <c r="C24" s="13" t="n">
        <v>12000</v>
      </c>
      <c r="D24" s="13" t="n">
        <v>0</v>
      </c>
      <c r="E24" s="14">
        <f>C24-D24</f>
        <v/>
      </c>
      <c r="F24" s="15" t="inlineStr">
        <is>
          <t>N</t>
        </is>
      </c>
      <c r="G24" s="16" t="inlineStr">
        <is>
          <t>Excluded</t>
        </is>
      </c>
      <c r="H24" s="16" t="inlineStr">
        <is>
          <t>Check the standard exclusion list item by item</t>
        </is>
      </c>
    </row>
    <row r="25" ht="26" customHeight="1">
      <c r="B25" s="12" t="inlineStr">
        <is>
          <t>ICU charges</t>
        </is>
      </c>
      <c r="C25" s="13" t="n">
        <v>0</v>
      </c>
      <c r="D25" s="13" t="n">
        <v>0</v>
      </c>
      <c r="E25" s="14">
        <f>C25-D25</f>
        <v/>
      </c>
      <c r="F25" s="15" t="inlineStr">
        <is>
          <t>Y</t>
        </is>
      </c>
      <c r="G25" s="16" t="inlineStr"/>
      <c r="H25" s="16" t="inlineStr"/>
    </row>
    <row r="26" ht="26" customHeight="1">
      <c r="B26" s="12" t="inlineStr">
        <is>
          <t>Other</t>
        </is>
      </c>
      <c r="C26" s="13" t="n">
        <v>0</v>
      </c>
      <c r="D26" s="13" t="n">
        <v>0</v>
      </c>
      <c r="E26" s="14">
        <f>C26-D26</f>
        <v/>
      </c>
      <c r="F26" s="15" t="inlineStr">
        <is>
          <t>N</t>
        </is>
      </c>
      <c r="G26" s="16" t="inlineStr"/>
      <c r="H26" s="16" t="inlineStr"/>
    </row>
    <row r="27">
      <c r="B27" s="3" t="inlineStr">
        <is>
          <t>TOTAL</t>
        </is>
      </c>
      <c r="C27" s="17">
        <f>SUM(C17:C26)</f>
        <v/>
      </c>
      <c r="D27" s="17">
        <f>SUM(D17:D26)</f>
        <v/>
      </c>
      <c r="E27" s="17">
        <f>SUM(E17:E26)</f>
        <v/>
      </c>
    </row>
    <row r="29">
      <c r="B29" s="18" t="inlineStr">
        <is>
          <t>Total billed</t>
        </is>
      </c>
      <c r="D29" s="19">
        <f>C27</f>
        <v/>
      </c>
    </row>
    <row r="30">
      <c r="B30" s="18" t="inlineStr">
        <is>
          <t>Total allowed by the insurer</t>
        </is>
      </c>
      <c r="D30" s="19">
        <f>D27</f>
        <v/>
      </c>
    </row>
    <row r="31">
      <c r="B31" s="18" t="inlineStr">
        <is>
          <t>Total deducted</t>
        </is>
      </c>
      <c r="D31" s="19">
        <f>E27</f>
        <v/>
      </c>
    </row>
    <row r="32">
      <c r="B32" s="18" t="inlineStr">
        <is>
          <t>Deduction as % of the bill</t>
        </is>
      </c>
      <c r="D32" s="6">
        <f>E27/C27</f>
        <v/>
      </c>
    </row>
    <row r="33">
      <c r="B33" s="18" t="inlineStr">
        <is>
          <t>**Error 1 — proportionality applied to heads that do not vary with room**</t>
        </is>
      </c>
      <c r="D33" s="19">
        <f>SUMIFS(E17:E26,F17:F26,"N",G17:G26,"Proportionate deduction")</f>
        <v/>
      </c>
    </row>
    <row r="34">
      <c r="B34" s="18" t="inlineStr">
        <is>
          <t>**Error 2 — PED disallowance where the waiting period was already complete**</t>
        </is>
      </c>
      <c r="D34" s="19">
        <f>IF(DATEDIF(C10,C12,"m")&gt;=C11,SUMIFS(E17:E26,G17:G26,"Pre-existing disease"),0)</f>
        <v/>
      </c>
    </row>
    <row r="35">
      <c r="B35" s="18" t="inlineStr">
        <is>
          <t>Correctly proportionate amount (heads that DO vary with room)</t>
        </is>
      </c>
      <c r="D35" s="19">
        <f>SUMIFS(C17:C26,F17:F26,"Y")*(1-$G$5)</f>
        <v/>
      </c>
    </row>
    <row r="36">
      <c r="B36" s="18" t="inlineStr">
        <is>
          <t>**Recomputed allowable, on the analysis above**</t>
        </is>
      </c>
      <c r="D36" s="19">
        <f>D27+SUMIFS(E17:E26,F17:F26,"N",G17:G26,"Proportionate deduction")</f>
        <v/>
      </c>
    </row>
    <row r="37">
      <c r="B37" s="18" t="inlineStr">
        <is>
          <t>**Amount to argue for**</t>
        </is>
      </c>
      <c r="D37" s="19">
        <f>SUMIFS(E17:E26,F17:F26,"N",G17:G26,"Proportionate deduction")</f>
        <v/>
      </c>
    </row>
    <row r="39" ht="60" customHeight="1">
      <c r="B39" s="20" t="inlineStr">
        <is>
          <t>How to use this in a mediation: do not argue the total. Work down the schedule row by row and ask the insurer, for each deduction, which clause authorises it and whether that head of charge actually varies with the room category. Deductions that cannot survive that question are usually conceded without argument. Co-pay applied AFTER a proportionate reduction is double-counting — check the order of operations in the insurer's computation sheet.</t>
        </is>
      </c>
    </row>
  </sheetData>
  <mergeCells count="4">
    <mergeCell ref="A2:H2"/>
    <mergeCell ref="B39:H39"/>
    <mergeCell ref="G6:H6"/>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D5D88ED318E546B0BAD9611B3061C9" ma:contentTypeVersion="9" ma:contentTypeDescription="Create a new document." ma:contentTypeScope="" ma:versionID="d50db782a5ec69b02a0131a0f200a05c">
  <xsd:schema xmlns:xsd="http://www.w3.org/2001/XMLSchema" xmlns:xs="http://www.w3.org/2001/XMLSchema" xmlns:p="http://schemas.microsoft.com/office/2006/metadata/properties" xmlns:ns2="30dddea4-ca15-4972-99ca-320a89f10386" targetNamespace="http://schemas.microsoft.com/office/2006/metadata/properties" ma:root="true" ma:fieldsID="2e09d9990d161d2f2733b865e15bb167" ns2:_="">
    <xsd:import namespace="30dddea4-ca15-4972-99ca-320a89f103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ddea4-ca15-4972-99ca-320a89f103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dddea4-ca15-4972-99ca-320a89f1038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53265E3-25FC-4B43-8FC8-73DBF80B7645}"/>
</file>

<file path=customXml/itemProps2.xml><?xml version="1.0" encoding="utf-8"?>
<ds:datastoreItem xmlns:ds="http://schemas.openxmlformats.org/officeDocument/2006/customXml" ds:itemID="{AC2EB6CF-76EC-43BB-BB0D-E52158783386}"/>
</file>

<file path=customXml/itemProps3.xml><?xml version="1.0" encoding="utf-8"?>
<ds:datastoreItem xmlns:ds="http://schemas.openxmlformats.org/officeDocument/2006/customXml" ds:itemID="{297CA7E5-8BC4-4D7C-BE5B-98ABFC4BB67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2026-07-21T15:49:46Z</dcterms:created>
  <dcterms:modified xsi:type="dcterms:W3CDTF">2026-07-21T15:49:46Z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0x01010053D5D88ED318E546B0BAD9611B3061C9</vt:lpwstr>
  </property>
</Properties>
</file>