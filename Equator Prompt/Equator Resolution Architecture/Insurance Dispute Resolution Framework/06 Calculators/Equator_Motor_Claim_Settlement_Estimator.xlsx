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b val="1"/>
      <color rgb="FF123B4F"/>
      <sz val="12"/>
    </font>
    <font>
      <name val="Arial"/>
      <color rgb="FF1B2A32"/>
      <sz val="10"/>
    </font>
    <font>
      <name val="Arial"/>
      <b val="1"/>
      <color rgb="FF123B4F"/>
      <sz val="10"/>
    </font>
  </fonts>
  <fills count="4">
    <fill>
      <patternFill/>
    </fill>
    <fill>
      <patternFill patternType="gray125"/>
    </fill>
    <fill>
      <patternFill patternType="solid">
        <fgColor rgb="FFFFF6D5"/>
      </patternFill>
    </fill>
    <fill>
      <patternFill patternType="solid">
        <fgColor rgb="FFF3E9D2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5" fillId="2" borderId="1" pivotButton="0" quotePrefix="0" xfId="0"/>
    <xf numFmtId="9" fontId="5" fillId="2" borderId="1" pivotButton="0" quotePrefix="0" xfId="0"/>
    <xf numFmtId="164" fontId="5" fillId="3" borderId="1" pivotButton="0" quotePrefix="0" xfId="0"/>
    <xf numFmtId="0" fontId="5" fillId="3" borderId="1" pivotButton="0" quotePrefix="0" xfId="0"/>
    <xf numFmtId="3" fontId="4" fillId="0" borderId="1" pivotButton="0" quotePrefix="0" xfId="0"/>
    <xf numFmtId="0" fontId="5" fillId="0" borderId="0" pivotButton="0" quotePrefix="0" xfId="0"/>
    <xf numFmtId="3" fontId="3" fillId="3" borderId="1" pivotButton="0" quotePrefix="0" xfId="0"/>
    <xf numFmtId="0" fontId="2" fillId="0" borderId="0" applyAlignment="1" pivotButton="0" quotePrefix="0" xfId="0">
      <alignment vertical="top" wrapText="1"/>
    </xf>
    <xf numFmtId="9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FFF4DC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4" customWidth="1" min="4" max="4"/>
    <col width="44" customWidth="1" min="5" max="5"/>
    <col width="20" customWidth="1" min="6" max="6"/>
  </cols>
  <sheetData>
    <row r="1">
      <c r="A1" s="1" t="inlineStr">
        <is>
          <t>Motor Claim Settlement Estimator</t>
        </is>
      </c>
    </row>
    <row r="2">
      <c r="A2" s="2" t="inlineStr">
        <is>
          <t>Own damage, total loss and non-standard settlement. Enter the yellow cells.</t>
        </is>
      </c>
    </row>
    <row r="4">
      <c r="B4" s="3" t="inlineStr">
        <is>
          <t>INPUTS</t>
        </is>
      </c>
    </row>
    <row r="5">
      <c r="B5" s="4" t="inlineStr">
        <is>
          <t>Insured's Declared Value — IDV (Rs.)</t>
        </is>
      </c>
      <c r="C5" s="5" t="n">
        <v>650000</v>
      </c>
    </row>
    <row r="6">
      <c r="B6" s="4" t="inlineStr">
        <is>
          <t>Assessed cost of repair (Rs.)</t>
        </is>
      </c>
      <c r="C6" s="5" t="n">
        <v>410000</v>
      </c>
    </row>
    <row r="7">
      <c r="B7" s="4" t="inlineStr">
        <is>
          <t>Depreciation on parts (Rs.)</t>
        </is>
      </c>
      <c r="C7" s="5" t="n">
        <v>46000</v>
      </c>
    </row>
    <row r="8">
      <c r="B8" s="4" t="inlineStr">
        <is>
          <t>Zero-depreciation add-on purchased? (Y/N)</t>
        </is>
      </c>
      <c r="C8" s="6" t="inlineStr">
        <is>
          <t>N</t>
        </is>
      </c>
    </row>
    <row r="9">
      <c r="B9" s="4" t="inlineStr">
        <is>
          <t>Salvage value if the insured retains the wreck (Rs.)</t>
        </is>
      </c>
      <c r="C9" s="5" t="n">
        <v>92000</v>
      </c>
    </row>
    <row r="10">
      <c r="B10" s="4" t="inlineStr">
        <is>
          <t>Compulsory excess (Rs.)</t>
        </is>
      </c>
      <c r="C10" s="5" t="n">
        <v>2000</v>
      </c>
    </row>
    <row r="11">
      <c r="B11" s="4" t="inlineStr">
        <is>
          <t>Voluntary excess (Rs.)</t>
        </is>
      </c>
      <c r="C11" s="5" t="n">
        <v>0</v>
      </c>
    </row>
    <row r="12">
      <c r="B12" s="4" t="inlineStr">
        <is>
          <t>Total-loss threshold as % of IDV</t>
        </is>
      </c>
      <c r="C12" s="7" t="n">
        <v>0.75</v>
      </c>
    </row>
    <row r="13">
      <c r="B13" s="4" t="inlineStr">
        <is>
          <t>Is a policy-condition breach alleged? (Y/N)</t>
        </is>
      </c>
      <c r="C13" s="6" t="inlineStr">
        <is>
          <t>Y</t>
        </is>
      </c>
    </row>
    <row r="14">
      <c r="B14" s="4" t="inlineStr">
        <is>
          <t>Non-standard settlement percentage offered</t>
        </is>
      </c>
      <c r="C14" s="7" t="n">
        <v>0.75</v>
      </c>
    </row>
    <row r="16">
      <c r="B16" s="3" t="inlineStr">
        <is>
          <t>TOTAL-LOSS TEST</t>
        </is>
      </c>
    </row>
    <row r="17">
      <c r="B17" s="4" t="inlineStr">
        <is>
          <t>Repair cost as a % of IDV</t>
        </is>
      </c>
      <c r="C17" s="8">
        <f>C6/C5</f>
        <v/>
      </c>
    </row>
    <row r="18">
      <c r="B18" s="4" t="inlineStr">
        <is>
          <t>Total-loss threshold</t>
        </is>
      </c>
      <c r="C18" s="8">
        <f>C12</f>
        <v/>
      </c>
    </row>
    <row r="19">
      <c r="B19" s="4" t="inlineStr">
        <is>
          <t>Is this a total loss / CTL?</t>
        </is>
      </c>
      <c r="C19" s="9">
        <f>IF(C6/C5&gt;=C12,"YES — settle on IDV basis","NO — settle on repair basis")</f>
        <v/>
      </c>
    </row>
    <row r="21">
      <c r="B21" s="3" t="inlineStr">
        <is>
          <t>SETTLEMENT ON THE REPAIR BASIS</t>
        </is>
      </c>
      <c r="E21" s="3" t="inlineStr">
        <is>
          <t>SETTLEMENT ON THE TOTAL-LOSS BASIS</t>
        </is>
      </c>
    </row>
    <row r="22">
      <c r="B22" s="4" t="inlineStr">
        <is>
          <t>Assessed cost of repair</t>
        </is>
      </c>
      <c r="C22" s="10">
        <f>C6</f>
        <v/>
      </c>
      <c r="E22" s="4" t="inlineStr">
        <is>
          <t>IDV</t>
        </is>
      </c>
      <c r="F22" s="10">
        <f>C5</f>
        <v/>
      </c>
    </row>
    <row r="23">
      <c r="B23" s="4" t="inlineStr">
        <is>
          <t>Less: depreciation on parts (nil if zero-dep purchased)</t>
        </is>
      </c>
      <c r="C23" s="10">
        <f>-IF(UPPER(C8)="Y",0,C7)</f>
        <v/>
      </c>
      <c r="E23" s="4" t="inlineStr">
        <is>
          <t>Less: salvage retained by the insured</t>
        </is>
      </c>
      <c r="F23" s="10">
        <f>-C9</f>
        <v/>
      </c>
    </row>
    <row r="24">
      <c r="B24" s="4" t="inlineStr">
        <is>
          <t>Less: compulsory excess</t>
        </is>
      </c>
      <c r="C24" s="10">
        <f>-C10</f>
        <v/>
      </c>
      <c r="E24" s="4" t="inlineStr">
        <is>
          <t>Less: compulsory excess</t>
        </is>
      </c>
      <c r="F24" s="10">
        <f>-C10</f>
        <v/>
      </c>
    </row>
    <row r="25">
      <c r="B25" s="4" t="inlineStr">
        <is>
          <t>Less: voluntary excess</t>
        </is>
      </c>
      <c r="C25" s="10">
        <f>-C11</f>
        <v/>
      </c>
      <c r="E25" s="11" t="inlineStr">
        <is>
          <t>**Net payable on the total-loss basis**</t>
        </is>
      </c>
      <c r="F25" s="12">
        <f>SUM(F22:F24)</f>
        <v/>
      </c>
    </row>
    <row r="26">
      <c r="B26" s="11" t="inlineStr">
        <is>
          <t>**Net payable on the repair basis**</t>
        </is>
      </c>
      <c r="C26" s="12">
        <f>SUM(C22:C25)</f>
        <v/>
      </c>
    </row>
    <row r="28">
      <c r="B28" s="3" t="inlineStr">
        <is>
          <t>NON-STANDARD SETTLEMENT (where a technical breach is alleged)</t>
        </is>
      </c>
    </row>
    <row r="29" ht="44" customHeight="1">
      <c r="B29" s="13" t="inlineStr">
        <is>
          <t>Indian motor practice settles a technical breach — an expired licence, a late intimation, a permit lapse — at a percentage of the assessed loss rather than by outright repudiation, because a breach with no nexus to the loss should not defeat the whole claim. [verify — the customary percentage and its regulatory basis]</t>
        </is>
      </c>
    </row>
    <row r="30">
      <c r="B30" s="4" t="inlineStr">
        <is>
          <t>Applicable base (repair or total-loss net)</t>
        </is>
      </c>
      <c r="C30" s="10">
        <f>IF(C6/C5&gt;=C12,F25,C26)</f>
        <v/>
      </c>
    </row>
    <row r="31">
      <c r="B31" s="4" t="inlineStr">
        <is>
          <t>Non-standard percentage</t>
        </is>
      </c>
      <c r="C31" s="14">
        <f>C14</f>
        <v/>
      </c>
    </row>
    <row r="32">
      <c r="B32" s="11" t="inlineStr">
        <is>
          <t>**Non-standard settlement figure**</t>
        </is>
      </c>
      <c r="C32" s="12">
        <f>IF(UPPER(C13)="Y",C30*C31,"n/a — no breach alleged")</f>
        <v/>
      </c>
    </row>
    <row r="33">
      <c r="B33" s="4" t="inlineStr">
        <is>
          <t>Difference against a full settlement</t>
        </is>
      </c>
      <c r="C33" s="10">
        <f>IF(UPPER(C13)="Y",C30-C32,0)</f>
        <v/>
      </c>
    </row>
    <row r="36">
      <c r="B36" s="3" t="inlineStr">
        <is>
          <t>NEGOTIATION RANGE</t>
        </is>
      </c>
    </row>
    <row r="37">
      <c r="B37" s="4" t="inlineStr">
        <is>
          <t>Insurer's likely opening (non-standard, if a breach is alleged)</t>
        </is>
      </c>
      <c r="C37" s="10">
        <f>IF(UPPER(C13)="Y",C32,C30*0.85)</f>
        <v/>
      </c>
    </row>
    <row r="38">
      <c r="B38" s="4" t="inlineStr">
        <is>
          <t>Policyholder's ask (full settlement)</t>
        </is>
      </c>
      <c r="C38" s="10">
        <f>C30</f>
        <v/>
      </c>
    </row>
    <row r="39">
      <c r="B39" s="11" t="inlineStr">
        <is>
          <t>**Midpoint**</t>
        </is>
      </c>
      <c r="C39" s="12">
        <f>(C37+C38)/2</f>
        <v/>
      </c>
    </row>
  </sheetData>
  <mergeCells count="3">
    <mergeCell ref="A2:F2"/>
    <mergeCell ref="B29:F29"/>
    <mergeCell ref="A1:F1"/>
  </mergeCells>
  <conditionalFormatting sqref="C19">
    <cfRule type="cellIs" priority="1" operator="containsText" dxfId="0">
      <formula>SEARCH("YES",C19)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CEC562-19D7-467D-A69E-4DF4A91397D8}"/>
</file>

<file path=customXml/itemProps2.xml><?xml version="1.0" encoding="utf-8"?>
<ds:datastoreItem xmlns:ds="http://schemas.openxmlformats.org/officeDocument/2006/customXml" ds:itemID="{43C837B9-6E93-43A0-97CC-E49CCEE38B9E}"/>
</file>

<file path=customXml/itemProps3.xml><?xml version="1.0" encoding="utf-8"?>
<ds:datastoreItem xmlns:ds="http://schemas.openxmlformats.org/officeDocument/2006/customXml" ds:itemID="{62534327-71F3-4FA7-BADC-8C82D1F952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2026-07-21T15:49:46Z</dcterms:created>
  <dcterms:modified xsi:type="dcterms:W3CDTF">2026-07-21T15:49:46Z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