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Heat Map" sheetId="3" state="visible" r:id="rId3"/>
    <sheet xmlns:r="http://schemas.openxmlformats.org/officeDocument/2006/relationships" name="Control Map" sheetId="4" state="visible" r:id="rId4"/>
  </sheets>
  <definedNames>
    <definedName name="_xlnm._FilterDatabase" localSheetId="1" hidden="1">'Risk Register'!$A$3:$K$23</definedName>
    <definedName name="_xlnm._FilterDatabase" localSheetId="2" hidden="1">'Heat Map'!$A$3:$F$8</definedName>
    <definedName name="_xlnm._FilterDatabase" localSheetId="3" hidden="1">'Control Map'!$A$3:$E$15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10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FFF4DCE0"/>
        </patternFill>
      </fill>
    </dxf>
    <dxf>
      <fill>
        <patternFill patternType="solid">
          <fgColor rgb="FFF3E9D2"/>
        </patternFill>
      </fill>
    </dxf>
    <dxf>
      <fill>
        <patternFill patternType="solid">
          <fgColor rgb="FFD8EC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Equator Resolution — Insurance Enterprise &amp; AI Risk Register</t>
        </is>
      </c>
    </row>
    <row r="3">
      <c r="B3" s="2" t="inlineStr">
        <is>
          <t>Severity × likelihood, with owners, controls and review dates.</t>
        </is>
      </c>
    </row>
    <row r="5">
      <c r="B5" s="3" t="inlineStr"/>
    </row>
    <row r="6">
      <c r="B6" s="4" t="inlineStr">
        <is>
          <t>SCORING</t>
        </is>
      </c>
    </row>
    <row r="7">
      <c r="B7" s="3" t="inlineStr">
        <is>
          <t>Severity 1–5 (5 = severe: regulatory action, direct harm to a party, or health-data breach).</t>
        </is>
      </c>
    </row>
    <row r="8">
      <c r="B8" s="3" t="inlineStr">
        <is>
          <t>Likelihood 1–5 (5 = expected). Score = severity × likelihood.</t>
        </is>
      </c>
    </row>
    <row r="9">
      <c r="B9" s="3" t="inlineStr">
        <is>
          <t>Score ≥ 15 = Board-level. 9–14 = executive. ≤ 8 = managed at function level.</t>
        </is>
      </c>
    </row>
    <row r="10">
      <c r="B10" s="3" t="inlineStr"/>
    </row>
    <row r="11">
      <c r="B11" s="4" t="inlineStr">
        <is>
          <t>THE TWO RISKS THAT DEFINE THIS VERTICAL</t>
        </is>
      </c>
    </row>
    <row r="12">
      <c r="B12" s="3" t="inlineStr">
        <is>
          <t>IN-R-01  A retail policyholder routed into arbitration.</t>
        </is>
      </c>
    </row>
    <row r="13">
      <c r="B13" s="3" t="inlineStr">
        <is>
          <t>IN-R-02  An Ombudsman one-year window expiring during an Equator mediation.</t>
        </is>
      </c>
    </row>
    <row r="14">
      <c r="B14" s="3" t="inlineStr">
        <is>
          <t>Both are scored severity 5 and both have controls in code, not merely in policy.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6" customWidth="1" min="3" max="3"/>
    <col width="6" customWidth="1" min="4" max="4"/>
    <col width="6" customWidth="1" min="5" max="5"/>
    <col width="7" customWidth="1" min="6" max="6"/>
    <col width="12" customWidth="1" min="7" max="7"/>
    <col width="62" customWidth="1" min="8" max="8"/>
    <col width="20" customWidth="1" min="9" max="9"/>
    <col width="14" customWidth="1" min="10" max="10"/>
    <col width="10" customWidth="1" min="11" max="11"/>
  </cols>
  <sheetData>
    <row r="1">
      <c r="A1" s="1" t="inlineStr">
        <is>
          <t>Insurance Enterprise &amp; AI Risk Register</t>
        </is>
      </c>
    </row>
    <row r="2">
      <c r="A2" s="2" t="inlineStr">
        <is>
          <t>Score = severity × likelihood. Tier is computed. Law stated as at July 2026.</t>
        </is>
      </c>
    </row>
    <row r="3" ht="26" customHeight="1">
      <c r="A3" s="5" t="inlineStr">
        <is>
          <t>ID</t>
        </is>
      </c>
      <c r="B3" s="5" t="inlineStr">
        <is>
          <t>Category</t>
        </is>
      </c>
      <c r="C3" s="5" t="inlineStr">
        <is>
          <t>Risk</t>
        </is>
      </c>
      <c r="D3" s="5" t="inlineStr">
        <is>
          <t>Sev</t>
        </is>
      </c>
      <c r="E3" s="5" t="inlineStr">
        <is>
          <t>Lik</t>
        </is>
      </c>
      <c r="F3" s="5" t="inlineStr">
        <is>
          <t>Score</t>
        </is>
      </c>
      <c r="G3" s="5" t="inlineStr">
        <is>
          <t>Tier</t>
        </is>
      </c>
      <c r="H3" s="5" t="inlineStr">
        <is>
          <t>Controls</t>
        </is>
      </c>
      <c r="I3" s="5" t="inlineStr">
        <is>
          <t>Owner</t>
        </is>
      </c>
      <c r="J3" s="5" t="inlineStr">
        <is>
          <t>Review</t>
        </is>
      </c>
      <c r="K3" s="5" t="inlineStr">
        <is>
          <t>Status</t>
        </is>
      </c>
    </row>
    <row r="4">
      <c r="A4" s="6" t="inlineStr">
        <is>
          <t>IN-R-01</t>
        </is>
      </c>
      <c r="B4" s="6" t="inlineStr">
        <is>
          <t>Regulatory</t>
        </is>
      </c>
      <c r="C4" s="6" t="inlineStr">
        <is>
          <t>A retail policyholder is routed into arbitration</t>
        </is>
      </c>
      <c r="D4" s="7" t="n">
        <v>5</v>
      </c>
      <c r="E4" s="7" t="n">
        <v>2</v>
      </c>
      <c r="F4" s="7">
        <f>D4*E4</f>
        <v/>
      </c>
      <c r="G4" s="7">
        <f>IF(F4&gt;=15,"BOARD",IF(F4&gt;=9,"EXECUTIVE","FUNCTION"))</f>
        <v/>
      </c>
      <c r="H4" s="6" t="inlineStr">
        <is>
          <t>DB CHECK constraint; API 409; AI route set; mandatory classification with second-officer review; UAT U-05 and U-36 are release gates</t>
        </is>
      </c>
      <c r="I4" s="6" t="inlineStr">
        <is>
          <t>Head of Legal</t>
        </is>
      </c>
      <c r="J4" s="6" t="inlineStr">
        <is>
          <t>Each release</t>
        </is>
      </c>
      <c r="K4" s="6" t="inlineStr">
        <is>
          <t>Open</t>
        </is>
      </c>
    </row>
    <row r="5">
      <c r="A5" s="8" t="inlineStr">
        <is>
          <t>IN-R-02</t>
        </is>
      </c>
      <c r="B5" s="8" t="inlineStr">
        <is>
          <t>Party harm</t>
        </is>
      </c>
      <c r="C5" s="8" t="inlineStr">
        <is>
          <t>An Ombudsman one-year window expires during an Equator mediation</t>
        </is>
      </c>
      <c r="D5" s="9" t="n">
        <v>5</v>
      </c>
      <c r="E5" s="9" t="n">
        <v>2</v>
      </c>
      <c r="F5" s="9">
        <f>D5*E5</f>
        <v/>
      </c>
      <c r="G5" s="9">
        <f>IF(F5&gt;=15,"BOARD",IF(F5&gt;=9,"EXECUTIVE","FUNCTION"))</f>
        <v/>
      </c>
      <c r="H5" s="8" t="inlineStr">
        <is>
          <t>Clock engine with generated expiries; 90/60/30-day alerts; blocking 60-day prompt task; closure block on unowned clocks; automatic Critical incident on unprompted expiry</t>
        </is>
      </c>
      <c r="I5" s="8" t="inlineStr">
        <is>
          <t>Head of Operations</t>
        </is>
      </c>
      <c r="J5" s="8" t="inlineStr">
        <is>
          <t>Monthly</t>
        </is>
      </c>
      <c r="K5" s="8" t="inlineStr">
        <is>
          <t>Open</t>
        </is>
      </c>
    </row>
    <row r="6">
      <c r="A6" s="6" t="inlineStr">
        <is>
          <t>IN-R-03</t>
        </is>
      </c>
      <c r="B6" s="6" t="inlineStr">
        <is>
          <t>Data</t>
        </is>
      </c>
      <c r="C6" s="6" t="inlineStr">
        <is>
          <t>Health-data breach or misuse</t>
        </is>
      </c>
      <c r="D6" s="7" t="n">
        <v>5</v>
      </c>
      <c r="E6" s="7" t="n">
        <v>2</v>
      </c>
      <c r="F6" s="7">
        <f>D6*E6</f>
        <v/>
      </c>
      <c r="G6" s="7">
        <f>IF(F6&gt;=15,"BOARD",IF(F6&gt;=9,"EXECUTIVE","FUNCTION"))</f>
        <v/>
      </c>
      <c r="H6" s="6" t="inlineStr">
        <is>
          <t>Segregated schema and key; assignment-scoped, time-boxed access; immutable access log reviewed monthly; exclusion from analytics and AI enforced by CI scan; vertical DPIA</t>
        </is>
      </c>
      <c r="I6" s="6" t="inlineStr">
        <is>
          <t>DPO</t>
        </is>
      </c>
      <c r="J6" s="6" t="inlineStr">
        <is>
          <t>Monthly</t>
        </is>
      </c>
      <c r="K6" s="6" t="inlineStr">
        <is>
          <t>Open</t>
        </is>
      </c>
    </row>
    <row r="7">
      <c r="A7" s="8" t="inlineStr">
        <is>
          <t>IN-R-04</t>
        </is>
      </c>
      <c r="B7" s="8" t="inlineStr">
        <is>
          <t>Integrity</t>
        </is>
      </c>
      <c r="C7" s="8" t="inlineStr">
        <is>
          <t>Repeat-player capture of a neutral by an insurer</t>
        </is>
      </c>
      <c r="D7" s="9" t="n">
        <v>4</v>
      </c>
      <c r="E7" s="9" t="n">
        <v>4</v>
      </c>
      <c r="F7" s="9">
        <f>D7*E7</f>
        <v/>
      </c>
      <c r="G7" s="9">
        <f>IF(F7&gt;=15,"BOARD",IF(F7&gt;=9,"EXECUTIVE","FUNCTION"))</f>
        <v/>
      </c>
      <c r="H7" s="8" t="inlineStr">
        <is>
          <t>40% concentration cap as a DB constraint; rotation; cooling-off; consumer-side panel quota; quarterly publication of outcomes by insurer; no insurer-only selection</t>
        </is>
      </c>
      <c r="I7" s="8" t="inlineStr">
        <is>
          <t>Head of Panel</t>
        </is>
      </c>
      <c r="J7" s="8" t="inlineStr">
        <is>
          <t>Quarterly</t>
        </is>
      </c>
      <c r="K7" s="8" t="inlineStr">
        <is>
          <t>Open</t>
        </is>
      </c>
    </row>
    <row r="8">
      <c r="A8" s="6" t="inlineStr">
        <is>
          <t>IN-R-05</t>
        </is>
      </c>
      <c r="B8" s="6" t="inlineStr">
        <is>
          <t>Regulatory</t>
        </is>
      </c>
      <c r="C8" s="6" t="inlineStr">
        <is>
          <t>Equator is perceived as, or presents itself as, an official forum</t>
        </is>
      </c>
      <c r="D8" s="7" t="n">
        <v>5</v>
      </c>
      <c r="E8" s="7" t="n">
        <v>2</v>
      </c>
      <c r="F8" s="7">
        <f>D8*E8</f>
        <v/>
      </c>
      <c r="G8" s="7">
        <f>IF(F8&gt;=15,"BOARD",IF(F8&gt;=9,"EXECUTIVE","FUNCTION"))</f>
        <v/>
      </c>
      <c r="H8" s="6" t="inlineStr">
        <is>
          <t>Standing signposting script delivered verbatim and recorded; brand and marketing review; AI guardrail IN-G-07 with four adversarial cases; footer disclaimer on every page</t>
        </is>
      </c>
      <c r="I8" s="6" t="inlineStr">
        <is>
          <t>Head of Legal</t>
        </is>
      </c>
      <c r="J8" s="6" t="inlineStr">
        <is>
          <t>Quarterly</t>
        </is>
      </c>
      <c r="K8" s="6" t="inlineStr">
        <is>
          <t>Open</t>
        </is>
      </c>
    </row>
    <row r="9">
      <c r="A9" s="8" t="inlineStr">
        <is>
          <t>IN-R-06</t>
        </is>
      </c>
      <c r="B9" s="8" t="inlineStr">
        <is>
          <t>Legal</t>
        </is>
      </c>
      <c r="C9" s="8" t="inlineStr">
        <is>
          <t>A settlement purports to waive a non-waivable statutory right</t>
        </is>
      </c>
      <c r="D9" s="9" t="n">
        <v>4</v>
      </c>
      <c r="E9" s="9" t="n">
        <v>2</v>
      </c>
      <c r="F9" s="9">
        <f>D9*E9</f>
        <v/>
      </c>
      <c r="G9" s="9">
        <f>IF(F9&gt;=15,"BOARD",IF(F9&gt;=9,"EXECUTIVE","FUNCTION"))</f>
        <v/>
      </c>
      <c r="H9" s="8" t="inlineStr">
        <is>
          <t>DB CHECK constraints (no_statutory_waiver, no_future_discharge); template control; neutral training; QA sample</t>
        </is>
      </c>
      <c r="I9" s="8" t="inlineStr">
        <is>
          <t>Head of Legal</t>
        </is>
      </c>
      <c r="J9" s="8" t="inlineStr">
        <is>
          <t>Each release</t>
        </is>
      </c>
      <c r="K9" s="8" t="inlineStr">
        <is>
          <t>Open</t>
        </is>
      </c>
    </row>
    <row r="10">
      <c r="A10" s="6" t="inlineStr">
        <is>
          <t>IN-R-07</t>
        </is>
      </c>
      <c r="B10" s="6" t="inlineStr">
        <is>
          <t>Party harm</t>
        </is>
      </c>
      <c r="C10" s="6" t="inlineStr">
        <is>
          <t>A discharge voucher is signed under compulsion without reservation</t>
        </is>
      </c>
      <c r="D10" s="7" t="n">
        <v>4</v>
      </c>
      <c r="E10" s="7" t="n">
        <v>3</v>
      </c>
      <c r="F10" s="7">
        <f>D10*E10</f>
        <v/>
      </c>
      <c r="G10" s="7">
        <f>IF(F10&gt;=15,"BOARD",IF(F10&gt;=9,"EXECUTIVE","FUNCTION"))</f>
        <v/>
      </c>
      <c r="H10" s="6" t="inlineStr">
        <is>
          <t>Form F-I17 tick-box; DB constraint requiring a reserved balance on under_protest; case-manager script; QA sample of closed cases where the amount was disputed</t>
        </is>
      </c>
      <c r="I10" s="6" t="inlineStr">
        <is>
          <t>Head of Operations</t>
        </is>
      </c>
      <c r="J10" s="6" t="inlineStr">
        <is>
          <t>Monthly</t>
        </is>
      </c>
      <c r="K10" s="6" t="inlineStr">
        <is>
          <t>Open</t>
        </is>
      </c>
    </row>
    <row r="11">
      <c r="A11" s="8" t="inlineStr">
        <is>
          <t>IN-R-08</t>
        </is>
      </c>
      <c r="B11" s="8" t="inlineStr">
        <is>
          <t>AI</t>
        </is>
      </c>
      <c r="C11" s="8" t="inlineStr">
        <is>
          <t>The AI gives a merits opinion or a claim valuation</t>
        </is>
      </c>
      <c r="D11" s="9" t="n">
        <v>4</v>
      </c>
      <c r="E11" s="9" t="n">
        <v>3</v>
      </c>
      <c r="F11" s="9">
        <f>D11*E11</f>
        <v/>
      </c>
      <c r="G11" s="9">
        <f>IF(F11&gt;=15,"BOARD",IF(F11&gt;=9,"EXECUTIVE","FUNCTION"))</f>
        <v/>
      </c>
      <c r="H11" s="8" t="inlineStr">
        <is>
          <t>Guardrails IN-G-03 and IN-G-04 with eight adversarial cases; 403 refusal; architectural separation of classification from routing; degradation path to the deterministic questionnaire</t>
        </is>
      </c>
      <c r="I11" s="8" t="inlineStr">
        <is>
          <t>Head of Technology</t>
        </is>
      </c>
      <c r="J11" s="8" t="inlineStr">
        <is>
          <t>Each release</t>
        </is>
      </c>
      <c r="K11" s="8" t="inlineStr">
        <is>
          <t>Open</t>
        </is>
      </c>
    </row>
    <row r="12">
      <c r="A12" s="6" t="inlineStr">
        <is>
          <t>IN-R-09</t>
        </is>
      </c>
      <c r="B12" s="6" t="inlineStr">
        <is>
          <t>Legal</t>
        </is>
      </c>
      <c r="C12" s="6" t="inlineStr">
        <is>
          <t>A fraud allegation is mediated</t>
        </is>
      </c>
      <c r="D12" s="7" t="n">
        <v>4</v>
      </c>
      <c r="E12" s="7" t="n">
        <v>2</v>
      </c>
      <c r="F12" s="7">
        <f>D12*E12</f>
        <v/>
      </c>
      <c r="G12" s="7">
        <f>IF(F12&gt;=15,"BOARD",IF(F12&gt;=9,"EXECUTIVE","FUNCTION"))</f>
        <v/>
      </c>
      <c r="H12" s="6" t="inlineStr">
        <is>
          <t>Triage screen-out; DB constraint (no mediation route where fraud_alleged); neutral standing instruction; escalation to Head of Legal</t>
        </is>
      </c>
      <c r="I12" s="6" t="inlineStr">
        <is>
          <t>Head of Legal</t>
        </is>
      </c>
      <c r="J12" s="6" t="inlineStr">
        <is>
          <t>Monthly</t>
        </is>
      </c>
      <c r="K12" s="6" t="inlineStr">
        <is>
          <t>Open</t>
        </is>
      </c>
    </row>
    <row r="13">
      <c r="A13" s="8" t="inlineStr">
        <is>
          <t>IN-R-10</t>
        </is>
      </c>
      <c r="B13" s="8" t="inlineStr">
        <is>
          <t>Commercial</t>
        </is>
      </c>
      <c r="C13" s="8" t="inlineStr">
        <is>
          <t>Insurers decline to participate at scale</t>
        </is>
      </c>
      <c r="D13" s="9" t="n">
        <v>3</v>
      </c>
      <c r="E13" s="9" t="n">
        <v>4</v>
      </c>
      <c r="F13" s="9">
        <f>D13*E13</f>
        <v/>
      </c>
      <c r="G13" s="9">
        <f>IF(F13&gt;=15,"BOARD",IF(F13&gt;=9,"EXECUTIVE","FUNCTION"))</f>
        <v/>
      </c>
      <c r="H13" s="8" t="inlineStr">
        <is>
          <t>Lead with the batched settlement day, which has an explicit cost case; publish participation rates; protocol template with reciprocal undertakings</t>
        </is>
      </c>
      <c r="I13" s="8" t="inlineStr">
        <is>
          <t>Head of BD</t>
        </is>
      </c>
      <c r="J13" s="8" t="inlineStr">
        <is>
          <t>Monthly</t>
        </is>
      </c>
      <c r="K13" s="8" t="inlineStr">
        <is>
          <t>Open</t>
        </is>
      </c>
    </row>
    <row r="14">
      <c r="A14" s="6" t="inlineStr">
        <is>
          <t>IN-R-11</t>
        </is>
      </c>
      <c r="B14" s="6" t="inlineStr">
        <is>
          <t>Commercial</t>
        </is>
      </c>
      <c r="C14" s="6" t="inlineStr">
        <is>
          <t>The insurer relationship is bought at the cost of process integrity</t>
        </is>
      </c>
      <c r="D14" s="7" t="n">
        <v>5</v>
      </c>
      <c r="E14" s="7" t="n">
        <v>2</v>
      </c>
      <c r="F14" s="7">
        <f>D14*E14</f>
        <v/>
      </c>
      <c r="G14" s="7">
        <f>IF(F14&gt;=15,"BOARD",IF(F14&gt;=9,"EXECUTIVE","FUNCTION"))</f>
        <v/>
      </c>
      <c r="H14" s="6" t="inlineStr">
        <is>
          <t>Standing Board instruction: no commercial arrangement may relax the three controls; refusals recorded and reported to the Board; fee cannot be linked to the settlement amount (Rule 27)</t>
        </is>
      </c>
      <c r="I14" s="6" t="inlineStr">
        <is>
          <t>CEO</t>
        </is>
      </c>
      <c r="J14" s="6" t="inlineStr">
        <is>
          <t>Quarterly</t>
        </is>
      </c>
      <c r="K14" s="6" t="inlineStr">
        <is>
          <t>Open</t>
        </is>
      </c>
    </row>
    <row r="15">
      <c r="A15" s="8" t="inlineStr">
        <is>
          <t>IN-R-12</t>
        </is>
      </c>
      <c r="B15" s="8" t="inlineStr">
        <is>
          <t>Regulatory</t>
        </is>
      </c>
      <c r="C15" s="8" t="inlineStr">
        <is>
          <t>Regulatory change (internal ombudsman guidelines, DPDP phasing, 2025 Act commencement)</t>
        </is>
      </c>
      <c r="D15" s="9" t="n">
        <v>3</v>
      </c>
      <c r="E15" s="9" t="n">
        <v>5</v>
      </c>
      <c r="F15" s="9">
        <f>D15*E15</f>
        <v/>
      </c>
      <c r="G15" s="9">
        <f>IF(F15&gt;=15,"BOARD",IF(F15&gt;=9,"EXECUTIVE","FUNCTION"))</f>
        <v/>
      </c>
      <c r="H15" s="8" t="inlineStr">
        <is>
          <t>Six-monthly review with named owners; every affected document listed in the [verify] register; triage logic and signposting table designed to be reconfigured, not rewritten</t>
        </is>
      </c>
      <c r="I15" s="8" t="inlineStr">
        <is>
          <t>Head of Legal</t>
        </is>
      </c>
      <c r="J15" s="8" t="inlineStr">
        <is>
          <t>Six-monthly</t>
        </is>
      </c>
      <c r="K15" s="8" t="inlineStr">
        <is>
          <t>Open</t>
        </is>
      </c>
    </row>
    <row r="16">
      <c r="A16" s="6" t="inlineStr">
        <is>
          <t>IN-R-13</t>
        </is>
      </c>
      <c r="B16" s="6" t="inlineStr">
        <is>
          <t>Operational</t>
        </is>
      </c>
      <c r="C16" s="6" t="inlineStr">
        <is>
          <t>Insurer non-performance of a signed settlement</t>
        </is>
      </c>
      <c r="D16" s="7" t="n">
        <v>3</v>
      </c>
      <c r="E16" s="7" t="n">
        <v>3</v>
      </c>
      <c r="F16" s="7">
        <f>D16*E16</f>
        <v/>
      </c>
      <c r="G16" s="7">
        <f>IF(F16&gt;=15,"BOARD",IF(F16&gt;=9,"EXECUTIVE","FUNCTION"))</f>
        <v/>
      </c>
      <c r="H16" s="6" t="inlineStr">
        <is>
          <t>Escrow or milestone structure; acceleration clause; registration under s.27; performance verified before closure (F-I20)</t>
        </is>
      </c>
      <c r="I16" s="6" t="inlineStr">
        <is>
          <t>Head of Operations</t>
        </is>
      </c>
      <c r="J16" s="6" t="inlineStr">
        <is>
          <t>Monthly</t>
        </is>
      </c>
      <c r="K16" s="6" t="inlineStr">
        <is>
          <t>Open</t>
        </is>
      </c>
    </row>
    <row r="17">
      <c r="A17" s="8" t="inlineStr">
        <is>
          <t>IN-R-14</t>
        </is>
      </c>
      <c r="B17" s="8" t="inlineStr">
        <is>
          <t>Operational</t>
        </is>
      </c>
      <c r="C17" s="8" t="inlineStr">
        <is>
          <t>Claim file not produced by the insurer</t>
        </is>
      </c>
      <c r="D17" s="9" t="n">
        <v>2</v>
      </c>
      <c r="E17" s="9" t="n">
        <v>4</v>
      </c>
      <c r="F17" s="9">
        <f>D17*E17</f>
        <v/>
      </c>
      <c r="G17" s="9">
        <f>IF(F17&gt;=15,"BOARD",IF(F17&gt;=9,"EXECUTIVE","FUNCTION"))</f>
        <v/>
      </c>
      <c r="H17" s="8" t="inlineStr">
        <is>
          <t>14-day tracking; non-production recorded on the file and disclosed to the neutral; protocol undertaking</t>
        </is>
      </c>
      <c r="I17" s="8" t="inlineStr">
        <is>
          <t>Head of Operations</t>
        </is>
      </c>
      <c r="J17" s="8" t="inlineStr">
        <is>
          <t>Monthly</t>
        </is>
      </c>
      <c r="K17" s="8" t="inlineStr">
        <is>
          <t>Open</t>
        </is>
      </c>
    </row>
    <row r="18">
      <c r="A18" s="6" t="inlineStr">
        <is>
          <t>IN-R-15</t>
        </is>
      </c>
      <c r="B18" s="6" t="inlineStr">
        <is>
          <t>Financial</t>
        </is>
      </c>
      <c r="C18" s="6" t="inlineStr">
        <is>
          <t>Retail volume without insurer subscriptions — the vertical does not reach break-even</t>
        </is>
      </c>
      <c r="D18" s="7" t="n">
        <v>3</v>
      </c>
      <c r="E18" s="7" t="n">
        <v>3</v>
      </c>
      <c r="F18" s="7">
        <f>D18*E18</f>
        <v/>
      </c>
      <c r="G18" s="7">
        <f>IF(F18&gt;=15,"BOARD",IF(F18&gt;=9,"EXECUTIVE","FUNCTION"))</f>
        <v/>
      </c>
      <c r="H18" s="6" t="inlineStr">
        <is>
          <t>Financial model states the dependency explicitly; decision gate at month 18 (two protocols signed, or re-scope to a credibility and referral asset)</t>
        </is>
      </c>
      <c r="I18" s="6" t="inlineStr">
        <is>
          <t>CFO</t>
        </is>
      </c>
      <c r="J18" s="6" t="inlineStr">
        <is>
          <t>Quarterly</t>
        </is>
      </c>
      <c r="K18" s="6" t="inlineStr">
        <is>
          <t>Open</t>
        </is>
      </c>
    </row>
    <row r="19">
      <c r="A19" s="8" t="inlineStr">
        <is>
          <t>IN-R-16</t>
        </is>
      </c>
      <c r="B19" s="8" t="inlineStr">
        <is>
          <t>Panel</t>
        </is>
      </c>
      <c r="C19" s="8" t="inlineStr">
        <is>
          <t>Insufficient consumer-side neutrals at launch</t>
        </is>
      </c>
      <c r="D19" s="9" t="n">
        <v>3</v>
      </c>
      <c r="E19" s="9" t="n">
        <v>3</v>
      </c>
      <c r="F19" s="9">
        <f>D19*E19</f>
        <v/>
      </c>
      <c r="G19" s="9">
        <f>IF(F19&gt;=15,"BOARD",IF(F19&gt;=9,"EXECUTIVE","FUNCTION"))</f>
        <v/>
      </c>
      <c r="H19" s="8" t="inlineStr">
        <is>
          <t>Consumer-side quota is a go-live blocker in the readiness checklist; recruitment through legal-aid and consumer organisations</t>
        </is>
      </c>
      <c r="I19" s="8" t="inlineStr">
        <is>
          <t>Head of Panel</t>
        </is>
      </c>
      <c r="J19" s="8" t="inlineStr">
        <is>
          <t>Monthly</t>
        </is>
      </c>
      <c r="K19" s="8" t="inlineStr">
        <is>
          <t>Open</t>
        </is>
      </c>
    </row>
    <row r="20">
      <c r="A20" s="6" t="inlineStr">
        <is>
          <t>IN-R-17</t>
        </is>
      </c>
      <c r="B20" s="6" t="inlineStr">
        <is>
          <t>Data</t>
        </is>
      </c>
      <c r="C20" s="6" t="inlineStr">
        <is>
          <t>Medical records retained beyond the retention class</t>
        </is>
      </c>
      <c r="D20" s="7" t="n">
        <v>4</v>
      </c>
      <c r="E20" s="7" t="n">
        <v>2</v>
      </c>
      <c r="F20" s="7">
        <f>D20*E20</f>
        <v/>
      </c>
      <c r="G20" s="7">
        <f>IF(F20&gt;=15,"BOARD",IF(F20&gt;=9,"EXECUTIVE","FUNCTION"))</f>
        <v/>
      </c>
      <c r="H20" s="6" t="inlineStr">
        <is>
          <t>erase_after set at ingestion; daily erasure job; closure requires confirmation; quarterly audit</t>
        </is>
      </c>
      <c r="I20" s="6" t="inlineStr">
        <is>
          <t>DPO</t>
        </is>
      </c>
      <c r="J20" s="6" t="inlineStr">
        <is>
          <t>Quarterly</t>
        </is>
      </c>
      <c r="K20" s="6" t="inlineStr">
        <is>
          <t>Open</t>
        </is>
      </c>
    </row>
    <row r="21">
      <c r="A21" s="8" t="inlineStr">
        <is>
          <t>IN-R-18</t>
        </is>
      </c>
      <c r="B21" s="8" t="inlineStr">
        <is>
          <t>AI</t>
        </is>
      </c>
      <c r="C21" s="8" t="inlineStr">
        <is>
          <t>Bilingual divergence — different routes or clocks in हिंदी</t>
        </is>
      </c>
      <c r="D21" s="9" t="n">
        <v>3</v>
      </c>
      <c r="E21" s="9" t="n">
        <v>2</v>
      </c>
      <c r="F21" s="9">
        <f>D21*E21</f>
        <v/>
      </c>
      <c r="G21" s="9">
        <f>IF(F21&gt;=15,"BOARD",IF(F21&gt;=9,"EXECUTIVE","FUNCTION"))</f>
        <v/>
      </c>
      <c r="H21" s="8" t="inlineStr">
        <is>
          <t>Parity suite of 20 cases; routes and clocks come from the deterministic engine, not the model, in both languages</t>
        </is>
      </c>
      <c r="I21" s="8" t="inlineStr">
        <is>
          <t>Head of Technology</t>
        </is>
      </c>
      <c r="J21" s="8" t="inlineStr">
        <is>
          <t>Each release</t>
        </is>
      </c>
      <c r="K21" s="8" t="inlineStr">
        <is>
          <t>Open</t>
        </is>
      </c>
    </row>
    <row r="22">
      <c r="A22" s="6" t="inlineStr">
        <is>
          <t>IN-R-19</t>
        </is>
      </c>
      <c r="B22" s="6" t="inlineStr">
        <is>
          <t>Reputation</t>
        </is>
      </c>
      <c r="C22" s="6" t="inlineStr">
        <is>
          <t>A published outcome dataset is read as evidence of bias</t>
        </is>
      </c>
      <c r="D22" s="7" t="n">
        <v>3</v>
      </c>
      <c r="E22" s="7" t="n">
        <v>3</v>
      </c>
      <c r="F22" s="7">
        <f>D22*E22</f>
        <v/>
      </c>
      <c r="G22" s="7">
        <f>IF(F22&gt;=15,"BOARD",IF(F22&gt;=9,"EXECUTIVE","FUNCTION"))</f>
        <v/>
      </c>
      <c r="H22" s="6" t="inlineStr">
        <is>
          <t>Publish methodology alongside figures; publish case mix and claim-size distribution; explain that settlement rate is not a proxy for merit</t>
        </is>
      </c>
      <c r="I22" s="6" t="inlineStr">
        <is>
          <t>Head of Legal</t>
        </is>
      </c>
      <c r="J22" s="6" t="inlineStr">
        <is>
          <t>Quarterly</t>
        </is>
      </c>
      <c r="K22" s="6" t="inlineStr">
        <is>
          <t>Open</t>
        </is>
      </c>
    </row>
    <row r="23">
      <c r="A23" s="8" t="inlineStr">
        <is>
          <t>IN-R-20</t>
        </is>
      </c>
      <c r="B23" s="8" t="inlineStr">
        <is>
          <t>Third party</t>
        </is>
      </c>
      <c r="C23" s="8" t="inlineStr">
        <is>
          <t>A broker or hospital channel partner is perceived to influence outcomes</t>
        </is>
      </c>
      <c r="D23" s="9" t="n">
        <v>3</v>
      </c>
      <c r="E23" s="9" t="n">
        <v>3</v>
      </c>
      <c r="F23" s="9">
        <f>D23*E23</f>
        <v/>
      </c>
      <c r="G23" s="9">
        <f>IF(F23&gt;=15,"BOARD",IF(F23&gt;=9,"EXECUTIVE","FUNCTION"))</f>
        <v/>
      </c>
      <c r="H23" s="8" t="inlineStr">
        <is>
          <t>No fee sharing on referrals; no referrer role in neutral selection; a broker whose own conduct is in issue participates only as a party</t>
        </is>
      </c>
      <c r="I23" s="8" t="inlineStr">
        <is>
          <t>Head of BD</t>
        </is>
      </c>
      <c r="J23" s="8" t="inlineStr">
        <is>
          <t>Quarterly</t>
        </is>
      </c>
      <c r="K23" s="8" t="inlineStr">
        <is>
          <t>Open</t>
        </is>
      </c>
    </row>
  </sheetData>
  <autoFilter ref="A3:K23"/>
  <mergeCells count="2">
    <mergeCell ref="A2:K2"/>
    <mergeCell ref="A1:K1"/>
  </mergeCells>
  <conditionalFormatting sqref="F4:F23">
    <cfRule type="cellIs" priority="1" operator="greaterThanOrEqual" dxfId="0">
      <formula>15</formula>
    </cfRule>
    <cfRule type="cellIs" priority="2" operator="between" dxfId="1">
      <formula>9</formula>
      <formula>14</formula>
    </cfRule>
    <cfRule type="cellIs" priority="3" operator="lessThanOrEqual" dxfId="2">
      <formula>8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Severity × Likelihood Heat Map</t>
        </is>
      </c>
    </row>
    <row r="2">
      <c r="A2" s="2" t="inlineStr">
        <is>
          <t>Count of risks in each cell.</t>
        </is>
      </c>
    </row>
    <row r="3" ht="28" customHeight="1">
      <c r="A3" s="5" t="inlineStr">
        <is>
          <t>Severity \ Likelihood</t>
        </is>
      </c>
      <c r="B3" s="5" t="inlineStr">
        <is>
          <t>1</t>
        </is>
      </c>
      <c r="C3" s="5" t="inlineStr">
        <is>
          <t>2</t>
        </is>
      </c>
      <c r="D3" s="5" t="inlineStr">
        <is>
          <t>3</t>
        </is>
      </c>
      <c r="E3" s="5" t="inlineStr">
        <is>
          <t>4</t>
        </is>
      </c>
      <c r="F3" s="5" t="inlineStr">
        <is>
          <t>5</t>
        </is>
      </c>
    </row>
    <row r="4">
      <c r="A4" s="6" t="inlineStr">
        <is>
          <t>5</t>
        </is>
      </c>
      <c r="B4" s="6">
        <f>COUNTIFS('Risk Register'!$D$4:$D$23,5,'Risk Register'!$E$4:$E$23,1)</f>
        <v/>
      </c>
      <c r="C4" s="6">
        <f>COUNTIFS('Risk Register'!$D$4:$D$23,5,'Risk Register'!$E$4:$E$23,2)</f>
        <v/>
      </c>
      <c r="D4" s="6">
        <f>COUNTIFS('Risk Register'!$D$4:$D$23,5,'Risk Register'!$E$4:$E$23,3)</f>
        <v/>
      </c>
      <c r="E4" s="6">
        <f>COUNTIFS('Risk Register'!$D$4:$D$23,5,'Risk Register'!$E$4:$E$23,4)</f>
        <v/>
      </c>
      <c r="F4" s="6">
        <f>COUNTIFS('Risk Register'!$D$4:$D$23,5,'Risk Register'!$E$4:$E$23,5)</f>
        <v/>
      </c>
    </row>
    <row r="5">
      <c r="A5" s="8" t="inlineStr">
        <is>
          <t>4</t>
        </is>
      </c>
      <c r="B5" s="8">
        <f>COUNTIFS('Risk Register'!$D$4:$D$23,4,'Risk Register'!$E$4:$E$23,1)</f>
        <v/>
      </c>
      <c r="C5" s="8">
        <f>COUNTIFS('Risk Register'!$D$4:$D$23,4,'Risk Register'!$E$4:$E$23,2)</f>
        <v/>
      </c>
      <c r="D5" s="8">
        <f>COUNTIFS('Risk Register'!$D$4:$D$23,4,'Risk Register'!$E$4:$E$23,3)</f>
        <v/>
      </c>
      <c r="E5" s="8">
        <f>COUNTIFS('Risk Register'!$D$4:$D$23,4,'Risk Register'!$E$4:$E$23,4)</f>
        <v/>
      </c>
      <c r="F5" s="8">
        <f>COUNTIFS('Risk Register'!$D$4:$D$23,4,'Risk Register'!$E$4:$E$23,5)</f>
        <v/>
      </c>
    </row>
    <row r="6">
      <c r="A6" s="6" t="inlineStr">
        <is>
          <t>3</t>
        </is>
      </c>
      <c r="B6" s="6">
        <f>COUNTIFS('Risk Register'!$D$4:$D$23,3,'Risk Register'!$E$4:$E$23,1)</f>
        <v/>
      </c>
      <c r="C6" s="6">
        <f>COUNTIFS('Risk Register'!$D$4:$D$23,3,'Risk Register'!$E$4:$E$23,2)</f>
        <v/>
      </c>
      <c r="D6" s="6">
        <f>COUNTIFS('Risk Register'!$D$4:$D$23,3,'Risk Register'!$E$4:$E$23,3)</f>
        <v/>
      </c>
      <c r="E6" s="6">
        <f>COUNTIFS('Risk Register'!$D$4:$D$23,3,'Risk Register'!$E$4:$E$23,4)</f>
        <v/>
      </c>
      <c r="F6" s="6">
        <f>COUNTIFS('Risk Register'!$D$4:$D$23,3,'Risk Register'!$E$4:$E$23,5)</f>
        <v/>
      </c>
    </row>
    <row r="7">
      <c r="A7" s="8" t="inlineStr">
        <is>
          <t>2</t>
        </is>
      </c>
      <c r="B7" s="8">
        <f>COUNTIFS('Risk Register'!$D$4:$D$23,2,'Risk Register'!$E$4:$E$23,1)</f>
        <v/>
      </c>
      <c r="C7" s="8">
        <f>COUNTIFS('Risk Register'!$D$4:$D$23,2,'Risk Register'!$E$4:$E$23,2)</f>
        <v/>
      </c>
      <c r="D7" s="8">
        <f>COUNTIFS('Risk Register'!$D$4:$D$23,2,'Risk Register'!$E$4:$E$23,3)</f>
        <v/>
      </c>
      <c r="E7" s="8">
        <f>COUNTIFS('Risk Register'!$D$4:$D$23,2,'Risk Register'!$E$4:$E$23,4)</f>
        <v/>
      </c>
      <c r="F7" s="8">
        <f>COUNTIFS('Risk Register'!$D$4:$D$23,2,'Risk Register'!$E$4:$E$23,5)</f>
        <v/>
      </c>
    </row>
    <row r="8">
      <c r="A8" s="6" t="inlineStr">
        <is>
          <t>1</t>
        </is>
      </c>
      <c r="B8" s="6">
        <f>COUNTIFS('Risk Register'!$D$4:$D$23,1,'Risk Register'!$E$4:$E$23,1)</f>
        <v/>
      </c>
      <c r="C8" s="6">
        <f>COUNTIFS('Risk Register'!$D$4:$D$23,1,'Risk Register'!$E$4:$E$23,2)</f>
        <v/>
      </c>
      <c r="D8" s="6">
        <f>COUNTIFS('Risk Register'!$D$4:$D$23,1,'Risk Register'!$E$4:$E$23,3)</f>
        <v/>
      </c>
      <c r="E8" s="6">
        <f>COUNTIFS('Risk Register'!$D$4:$D$23,1,'Risk Register'!$E$4:$E$23,4)</f>
        <v/>
      </c>
      <c r="F8" s="6">
        <f>COUNTIFS('Risk Register'!$D$4:$D$23,1,'Risk Register'!$E$4:$E$23,5)</f>
        <v/>
      </c>
    </row>
  </sheetData>
  <autoFilter ref="A3:F8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46" customWidth="1" min="4" max="4"/>
    <col width="40" customWidth="1" min="5" max="5"/>
  </cols>
  <sheetData>
    <row r="1">
      <c r="A1" s="1" t="inlineStr">
        <is>
          <t>Risk to Control Mapping</t>
        </is>
      </c>
    </row>
    <row r="2">
      <c r="A2" s="2" t="inlineStr">
        <is>
          <t>Every risk maps to a numbered control in the compliance workbook.</t>
        </is>
      </c>
    </row>
    <row r="3" ht="28" customHeight="1">
      <c r="A3" s="5" t="inlineStr">
        <is>
          <t>Risk</t>
        </is>
      </c>
      <c r="B3" s="5" t="inlineStr">
        <is>
          <t>Control ID</t>
        </is>
      </c>
      <c r="C3" s="5" t="inlineStr">
        <is>
          <t>Control</t>
        </is>
      </c>
      <c r="D3" s="5" t="inlineStr">
        <is>
          <t>Enforcement layer</t>
        </is>
      </c>
      <c r="E3" s="5" t="inlineStr">
        <is>
          <t>Test</t>
        </is>
      </c>
    </row>
    <row r="4">
      <c r="A4" s="6" t="inlineStr">
        <is>
          <t>IN-R-01</t>
        </is>
      </c>
      <c r="B4" s="6" t="inlineStr">
        <is>
          <t>IN-C-03</t>
        </is>
      </c>
      <c r="C4" s="6" t="inlineStr">
        <is>
          <t>No arbitration route on a retail policy</t>
        </is>
      </c>
      <c r="D4" s="6" t="inlineStr">
        <is>
          <t>Database CHECK + API 409 + AI route set</t>
        </is>
      </c>
      <c r="E4" s="6" t="inlineStr">
        <is>
          <t>UAT U-05, U-36; constraint test</t>
        </is>
      </c>
    </row>
    <row r="5">
      <c r="A5" s="8" t="inlineStr">
        <is>
          <t>IN-R-02</t>
        </is>
      </c>
      <c r="B5" s="8" t="inlineStr">
        <is>
          <t>IN-C-02</t>
        </is>
      </c>
      <c r="C5" s="8" t="inlineStr">
        <is>
          <t>Clock table complete, owned and alerted</t>
        </is>
      </c>
      <c r="D5" s="8" t="inlineStr">
        <is>
          <t>Database GENERATED + trigger + scheduler</t>
        </is>
      </c>
      <c r="E5" s="8" t="inlineStr">
        <is>
          <t>UAT U-11, U-12, U-31; clock cases C-09 to C-12</t>
        </is>
      </c>
    </row>
    <row r="6">
      <c r="A6" s="6" t="inlineStr">
        <is>
          <t>IN-R-03</t>
        </is>
      </c>
      <c r="B6" s="6" t="inlineStr">
        <is>
          <t>IN-C-05 / IN-C-06</t>
        </is>
      </c>
      <c r="C6" s="6" t="inlineStr">
        <is>
          <t>Health data segregated and excluded</t>
        </is>
      </c>
      <c r="D6" s="6" t="inlineStr">
        <is>
          <t>Separate schema and key; CI scan</t>
        </is>
      </c>
      <c r="E6" s="6" t="inlineStr">
        <is>
          <t>UAT U-15 to U-17, U-34</t>
        </is>
      </c>
    </row>
    <row r="7">
      <c r="A7" s="8" t="inlineStr">
        <is>
          <t>IN-R-04</t>
        </is>
      </c>
      <c r="B7" s="8" t="inlineStr">
        <is>
          <t>IN-C-07</t>
        </is>
      </c>
      <c r="C7" s="8" t="inlineStr">
        <is>
          <t>Concentration cap, rotation, publication</t>
        </is>
      </c>
      <c r="D7" s="8" t="inlineStr">
        <is>
          <t>Database CHECK + panel system</t>
        </is>
      </c>
      <c r="E7" s="8" t="inlineStr">
        <is>
          <t>UAT U-21, U-22</t>
        </is>
      </c>
    </row>
    <row r="8">
      <c r="A8" s="6" t="inlineStr">
        <is>
          <t>IN-R-05</t>
        </is>
      </c>
      <c r="B8" s="6" t="inlineStr">
        <is>
          <t>IN-C-01</t>
        </is>
      </c>
      <c r="C8" s="6" t="inlineStr">
        <is>
          <t>Signposting delivered and recorded</t>
        </is>
      </c>
      <c r="D8" s="6" t="inlineStr">
        <is>
          <t>Application + trigger + call sampling</t>
        </is>
      </c>
      <c r="E8" s="6" t="inlineStr">
        <is>
          <t>UAT U-01, U-07; guardrail G-07</t>
        </is>
      </c>
    </row>
    <row r="9">
      <c r="A9" s="8" t="inlineStr">
        <is>
          <t>IN-R-06</t>
        </is>
      </c>
      <c r="B9" s="8" t="inlineStr">
        <is>
          <t>IN-C-04</t>
        </is>
      </c>
      <c r="C9" s="8" t="inlineStr">
        <is>
          <t>No waiver of a non-waivable right</t>
        </is>
      </c>
      <c r="D9" s="8" t="inlineStr">
        <is>
          <t>Database CHECK</t>
        </is>
      </c>
      <c r="E9" s="8" t="inlineStr">
        <is>
          <t>UAT U-24, U-25</t>
        </is>
      </c>
    </row>
    <row r="10">
      <c r="A10" s="6" t="inlineStr">
        <is>
          <t>IN-R-07</t>
        </is>
      </c>
      <c r="B10" s="6" t="inlineStr">
        <is>
          <t>IN-C-08</t>
        </is>
      </c>
      <c r="C10" s="6" t="inlineStr">
        <is>
          <t>Voucher basis recorded</t>
        </is>
      </c>
      <c r="D10" s="6" t="inlineStr">
        <is>
          <t>Database CHECK</t>
        </is>
      </c>
      <c r="E10" s="6" t="inlineStr">
        <is>
          <t>UAT U-27, U-28</t>
        </is>
      </c>
    </row>
    <row r="11">
      <c r="A11" s="8" t="inlineStr">
        <is>
          <t>IN-R-08</t>
        </is>
      </c>
      <c r="B11" s="8" t="inlineStr">
        <is>
          <t>IN-C-11</t>
        </is>
      </c>
      <c r="C11" s="8" t="inlineStr">
        <is>
          <t>AI guardrails</t>
        </is>
      </c>
      <c r="D11" s="8" t="inlineStr">
        <is>
          <t>Architecture + harness in CI</t>
        </is>
      </c>
      <c r="E11" s="8" t="inlineStr">
        <is>
          <t>Guardrail suite</t>
        </is>
      </c>
    </row>
    <row r="12">
      <c r="A12" s="6" t="inlineStr">
        <is>
          <t>IN-R-09</t>
        </is>
      </c>
      <c r="B12" s="6" t="inlineStr">
        <is>
          <t>IN-C-09</t>
        </is>
      </c>
      <c r="C12" s="6" t="inlineStr">
        <is>
          <t>Fraud screened out of mediation</t>
        </is>
      </c>
      <c r="D12" s="6" t="inlineStr">
        <is>
          <t>Database CHECK + triage rule</t>
        </is>
      </c>
      <c r="E12" s="6" t="inlineStr">
        <is>
          <t>Constraint test</t>
        </is>
      </c>
    </row>
    <row r="13">
      <c r="A13" s="8" t="inlineStr">
        <is>
          <t>IN-R-13</t>
        </is>
      </c>
      <c r="B13" s="8" t="inlineStr">
        <is>
          <t>IN-C-10</t>
        </is>
      </c>
      <c r="C13" s="8" t="inlineStr">
        <is>
          <t>Performance verified before closure</t>
        </is>
      </c>
      <c r="D13" s="8" t="inlineStr">
        <is>
          <t>Application + escrow reconciliation</t>
        </is>
      </c>
      <c r="E13" s="8" t="inlineStr">
        <is>
          <t>UAT U-33</t>
        </is>
      </c>
    </row>
    <row r="14">
      <c r="A14" s="6" t="inlineStr">
        <is>
          <t>IN-R-17</t>
        </is>
      </c>
      <c r="B14" s="6" t="inlineStr">
        <is>
          <t>IN-C-05</t>
        </is>
      </c>
      <c r="C14" s="6" t="inlineStr">
        <is>
          <t>Retention and erasure</t>
        </is>
      </c>
      <c r="D14" s="6" t="inlineStr">
        <is>
          <t>Scheduled job + closure confirmation</t>
        </is>
      </c>
      <c r="E14" s="6" t="inlineStr">
        <is>
          <t>UAT U-33</t>
        </is>
      </c>
    </row>
    <row r="15">
      <c r="A15" s="8" t="inlineStr">
        <is>
          <t>IN-R-19</t>
        </is>
      </c>
      <c r="B15" s="8" t="inlineStr">
        <is>
          <t>IN-C-12</t>
        </is>
      </c>
      <c r="C15" s="8" t="inlineStr">
        <is>
          <t>Outcome publication with methodology</t>
        </is>
      </c>
      <c r="D15" s="8" t="inlineStr">
        <is>
          <t>Reporting pipeline</t>
        </is>
      </c>
      <c r="E15" s="8" t="inlineStr">
        <is>
          <t>UAT U-34</t>
        </is>
      </c>
    </row>
  </sheetData>
  <autoFilter ref="A3:E15"/>
  <mergeCells count="2">
    <mergeCell ref="A2:E2"/>
    <mergeCell ref="A1:E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9A4AA0-42C5-4D57-96C0-9449A35CAC4D}"/>
</file>

<file path=customXml/itemProps2.xml><?xml version="1.0" encoding="utf-8"?>
<ds:datastoreItem xmlns:ds="http://schemas.openxmlformats.org/officeDocument/2006/customXml" ds:itemID="{68C37C15-05BE-4585-A4F7-91F96208F550}"/>
</file>

<file path=customXml/itemProps3.xml><?xml version="1.0" encoding="utf-8"?>
<ds:datastoreItem xmlns:ds="http://schemas.openxmlformats.org/officeDocument/2006/customXml" ds:itemID="{A0E25D40-0F3B-4E93-9460-521B27DBBF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2026-07-21T16:23:20Z</dcterms:created>
  <dcterms:modified xsi:type="dcterms:W3CDTF">2026-07-21T16:23:20Z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