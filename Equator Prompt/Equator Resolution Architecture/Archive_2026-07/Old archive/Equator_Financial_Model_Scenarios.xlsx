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Scenario &amp; Read me" sheetId="1" state="visible" r:id="rId3"/>
    <sheet name="1. Drivers (base)" sheetId="2" state="visible" r:id="rId4"/>
    <sheet name="2. Revenue" sheetId="3" state="visible" r:id="rId5"/>
    <sheet name="3. Costs" sheetId="4" state="visible" r:id="rId6"/>
    <sheet name="4. P&amp;L" sheetId="5" state="visible" r:id="rId7"/>
    <sheet name="5. Unit econ (CAC-LTV)" sheetId="6" state="visible" r:id="rId8"/>
    <sheet name="6. Cash &amp; runway" sheetId="7" state="visible" r:id="rId9"/>
    <sheet name="7. Sensitivity" sheetId="8" state="visible" r:id="rId10"/>
    <sheet name="8. Assumptions 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<sst xmlns="http://schemas.openxmlformats.org/spreadsheetml/2006/main" count="211" uniqueCount="172">
  <si>
    <t xml:space="preserve">EQUATOR — Scenario Financial Model (v2)</t>
  </si>
  <si>
    <t xml:space="preserve">Base / Bull / Bear with sensitivity, CAC/LTV, runway &amp; funding. BLUE = input. Change the scenario cell and all tabs update.</t>
  </si>
  <si>
    <t xml:space="preserve">Scenario selector</t>
  </si>
  <si>
    <t xml:space="preserve">Active scenario (1=Base, 2=Bull, 3=Bear)</t>
  </si>
  <si>
    <t xml:space="preserve">← change this</t>
  </si>
  <si>
    <t xml:space="preserve">Scenario multipliers (applied to Base drivers)</t>
  </si>
  <si>
    <t xml:space="preserve">Driver group</t>
  </si>
  <si>
    <t xml:space="preserve">Base</t>
  </si>
  <si>
    <t xml:space="preserve">Bull</t>
  </si>
  <si>
    <t xml:space="preserve">Bear</t>
  </si>
  <si>
    <t xml:space="preserve">Volume (all case counts)</t>
  </si>
  <si>
    <t xml:space="preserve">Price / fee realisation</t>
  </si>
  <si>
    <t xml:space="preserve">Cost efficiency (opex %)</t>
  </si>
  <si>
    <t xml:space="preserve">CAC</t>
  </si>
  <si>
    <t xml:space="preserve">Active multipliers (computed from selector)</t>
  </si>
  <si>
    <t xml:space="preserve">Volume mult</t>
  </si>
  <si>
    <t xml:space="preserve">Price mult</t>
  </si>
  <si>
    <t xml:space="preserve">Opex mult</t>
  </si>
  <si>
    <t xml:space="preserve">CAC mult</t>
  </si>
  <si>
    <t xml:space="preserve">•  This v2 adds scenario analysis on top of the Base model. Pick a scenario in C5; multipliers flow into Revenue, Costs, P&amp;L and Summary.</t>
  </si>
  <si>
    <t xml:space="preserve">•  BLUE cells are inputs. Black are formulas. ₹1 Cr = ₹10,000,000. Figures are planning assumptions, not a forecast.</t>
  </si>
  <si>
    <t xml:space="preserve">•  Tabs: 1 Drivers (base) · 2 Revenue · 3 Costs · 4 P&amp;L · 5 Unit econ (CAC/LTV) · 6 Cash &amp; runway · 7 Sensitivity · 8 Assumptions log.</t>
  </si>
  <si>
    <t xml:space="preserve">Base Drivers</t>
  </si>
  <si>
    <t xml:space="preserve">Base-case assumptions (BLUE). Scenario multipliers are applied downstream, not here.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</si>
  <si>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</si>
  <si>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</si>
  <si>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</si>
  <si>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</si>
  <si>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</si>
  <si>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Volumes (new matters / clients per year)</t>
  </si>
  <si>
    <t xml:space="preserve">NBFC cases</t>
  </si>
  <si>
    <t xml:space="preserve">Commercial cases</t>
  </si>
  <si>
    <t xml:space="preserve">Family cases</t>
  </si>
  <si>
    <t xml:space="preserve">Enterprise grievance clients</t>
  </si>
  <si>
    <t xml:space="preserve">POSH/grievance escalations</t>
  </si>
  <si>
    <t xml:space="preserve">Private Court subscribers</t>
  </si>
  <si>
    <t xml:space="preserve">Private Court cases</t>
  </si>
  <si>
    <t xml:space="preserve">Academy learners</t>
  </si>
  <si>
    <t xml:space="preserve">API/white-label clients</t>
  </si>
  <si>
    <t xml:space="preserve">Prices (₹ per unit)</t>
  </si>
  <si>
    <t xml:space="preserve">NBFC blended fee/case</t>
  </si>
  <si>
    <t xml:space="preserve">Commercial fee/case</t>
  </si>
  <si>
    <t xml:space="preserve">Family fee/case</t>
  </si>
  <si>
    <t xml:space="preserve">Grievance SaaS/client</t>
  </si>
  <si>
    <t xml:space="preserve">Escalation fee</t>
  </si>
  <si>
    <t xml:space="preserve">Private Court subscription</t>
  </si>
  <si>
    <t xml:space="preserve">Private Court fee/case</t>
  </si>
  <si>
    <t xml:space="preserve">Academy fee/learner</t>
  </si>
  <si>
    <t xml:space="preserve">API fee/client</t>
  </si>
  <si>
    <t xml:space="preserve">Costs</t>
  </si>
  <si>
    <t xml:space="preserve">Headcount</t>
  </si>
  <si>
    <t xml:space="preserve">Loaded salary/head</t>
  </si>
  <si>
    <t xml:space="preserve">Infra/3rd-party per case</t>
  </si>
  <si>
    <t xml:space="preserve">S&amp;M % of revenue (base)</t>
  </si>
  <si>
    <t xml:space="preserve">G&amp;A % of revenue (base)</t>
  </si>
  <si>
    <t xml:space="preserve">Neutral payout % of case fees</t>
  </si>
  <si>
    <t xml:space="preserve">Unit-economics drivers</t>
  </si>
  <si>
    <t xml:space="preserve">Blended CAC (₹) base</t>
  </si>
  <si>
    <t xml:space="preserve">Avg customer life (yrs)</t>
  </si>
  <si>
    <t xml:space="preserve">Contribution margin proxy</t>
  </si>
  <si>
    <t xml:space="preserve">Revenue (scenario-adjusted)</t>
  </si>
  <si>
    <t xml:space="preserve">Formula: Base volume × Volume-mult × Base price × Price-mult.</t>
  </si>
  <si>
    <t xml:space="preserve">NBFC fees</t>
  </si>
  <si>
    <t xml:space="preserve">Commercial fees</t>
  </si>
  <si>
    <t xml:space="preserve">Family fees</t>
  </si>
  <si>
    <t xml:space="preserve">Grievance SaaS</t>
  </si>
  <si>
    <t xml:space="preserve">Escalation fees</t>
  </si>
  <si>
    <t xml:space="preserve">Private Court subs</t>
  </si>
  <si>
    <t xml:space="preserve">Academy</t>
  </si>
  <si>
    <t xml:space="preserve">API/white-label</t>
  </si>
  <si>
    <t xml:space="preserve">TOTAL</t>
  </si>
  <si>
    <t xml:space="preserve">Total revenue (₹)</t>
  </si>
  <si>
    <t xml:space="preserve">Total revenue (₹ Cr)</t>
  </si>
  <si>
    <t xml:space="preserve">Costs (scenario-adjusted)</t>
  </si>
  <si>
    <t xml:space="preserve">Opex % scaled by Opex-mult; neutral payout &amp; infra scale with scenario volume.</t>
  </si>
  <si>
    <t xml:space="preserve">COGS</t>
  </si>
  <si>
    <t xml:space="preserve">Neutral payouts</t>
  </si>
  <si>
    <t xml:space="preserve">Infra &amp; 3rd-party</t>
  </si>
  <si>
    <t xml:space="preserve">Total COGS</t>
  </si>
  <si>
    <t xml:space="preserve">OpEx</t>
  </si>
  <si>
    <t xml:space="preserve">People</t>
  </si>
  <si>
    <t xml:space="preserve">Sales &amp; Marketing</t>
  </si>
  <si>
    <t xml:space="preserve">G&amp;A &amp; overheads</t>
  </si>
  <si>
    <t xml:space="preserve">Total OpEx</t>
  </si>
  <si>
    <t xml:space="preserve">P&amp;L (active scenario)</t>
  </si>
  <si>
    <t xml:space="preserve">Revenue − COGS = Gross profit; − OpEx = EBITDA.</t>
  </si>
  <si>
    <t xml:space="preserve">Revenue</t>
  </si>
  <si>
    <t xml:space="preserve">Gross profit</t>
  </si>
  <si>
    <t xml:space="preserve">Gross margin</t>
  </si>
  <si>
    <t xml:space="preserve">EBITDA</t>
  </si>
  <si>
    <t xml:space="preserve">EBITDA margin</t>
  </si>
  <si>
    <t xml:space="preserve">EBITDA (₹ Cr)</t>
  </si>
  <si>
    <t xml:space="preserve">Unit Economics — CAC / LTV</t>
  </si>
  <si>
    <t xml:space="preserve">Blended across paying customers; CAC scaled by CAC-mult.</t>
  </si>
  <si>
    <t xml:space="preserve">Customers acquired (proxy)</t>
  </si>
  <si>
    <t xml:space="preserve">CAC (₹)</t>
  </si>
  <si>
    <t xml:space="preserve">Revenue per customer (₹)</t>
  </si>
  <si>
    <t xml:space="preserve">Contribution margin</t>
  </si>
  <si>
    <t xml:space="preserve">Avg life (yrs)</t>
  </si>
  <si>
    <t xml:space="preserve">LTV (₹)</t>
  </si>
  <si>
    <t xml:space="preserve">LTV / CAC</t>
  </si>
  <si>
    <t xml:space="preserve">CAC payback (months)</t>
  </si>
  <si>
    <t xml:space="preserve">Target: LTV/CAC ≥ 3.0x and payback &lt; 12 months are healthy SaaS benchmarks.</t>
  </si>
  <si>
    <t xml:space="preserve">Cash, Runway &amp; Funding Need</t>
  </si>
  <si>
    <t xml:space="preserve">EBITDA proxy for operating cash; cumulative shows max cash needed (funding requirement).</t>
  </si>
  <si>
    <t xml:space="preserve">Cumulative cash (₹ Cr)</t>
  </si>
  <si>
    <t xml:space="preserve">Funding need (₹ Cr) = deepest cumulative trough</t>
  </si>
  <si>
    <t xml:space="preserve">Break-even year (first EBITDA&gt;0)</t>
  </si>
  <si>
    <t xml:space="preserve">Funding need is the maximum cumulative cash shortfall before the business self-funds. Raise with ~30–50% buffer.</t>
  </si>
  <si>
    <t xml:space="preserve">Sensitivity — Year-5 EBITDA (₹ Cr)</t>
  </si>
  <si>
    <t xml:space="preserve">Which drivers move the outcome most. Each row flexes ONE driver ±20% on the active scenario (illustrative, manual deltas).</t>
  </si>
  <si>
    <t xml:space="preserve">Driver flexed</t>
  </si>
  <si>
    <t xml:space="preserve">−20%</t>
  </si>
  <si>
    <t xml:space="preserve">Base (active)</t>
  </si>
  <si>
    <t xml:space="preserve">+20%</t>
  </si>
  <si>
    <t xml:space="preserve">Swing (₹ Cr)</t>
  </si>
  <si>
    <t xml:space="preserve">Rank</t>
  </si>
  <si>
    <t xml:space="preserve">Volume (all)</t>
  </si>
  <si>
    <t xml:space="preserve">Price realisation</t>
  </si>
  <si>
    <t xml:space="preserve">Neutral payout %</t>
  </si>
  <si>
    <t xml:space="preserve">S&amp;M % of revenue</t>
  </si>
  <si>
    <t xml:space="preserve">Headcount cost</t>
  </si>
  <si>
    <t xml:space="preserve">Infra cost/case</t>
  </si>
  <si>
    <t xml:space="preserve">Read: the largest 'Swing' = the driver Year-5 EBITDA is most sensitive to. Volume and price dominate; cost ratios matter less per 20% move.</t>
  </si>
  <si>
    <t xml:space="preserve">Assumptions Log</t>
  </si>
  <si>
    <t xml:space="preserve">Every material input with rationale/source and owner. The audit trail for the model.</t>
  </si>
  <si>
    <t xml:space="preserve">Assumption</t>
  </si>
  <si>
    <t xml:space="preserve">Value / basis</t>
  </si>
  <si>
    <t xml:space="preserve">Rationale / source</t>
  </si>
  <si>
    <t xml:space="preserve">Owner</t>
  </si>
  <si>
    <t xml:space="preserve">NBFC volume ramp</t>
  </si>
  <si>
    <t xml:space="preserve">6k→300k over 5y</t>
  </si>
  <si>
    <t xml:space="preserve">Clause-driven bulk intake from lender partners; conservative vs SAMA/Presolv360 scale</t>
  </si>
  <si>
    <t xml:space="preserve">Founder</t>
  </si>
  <si>
    <t xml:space="preserve">NBFC blended fee</t>
  </si>
  <si>
    <t xml:space="preserve">₹2,400–2,750/case</t>
  </si>
  <si>
    <t xml:space="preserve">Conciliation + prob-weighted arbitration; below DRT cost</t>
  </si>
  <si>
    <t xml:space="preserve">₹60k–68k</t>
  </si>
  <si>
    <t xml:space="preserve">Higher value, lower volume; institutional benchmark</t>
  </si>
  <si>
    <t xml:space="preserve">Legal/Founder</t>
  </si>
  <si>
    <t xml:space="preserve">43–45% of case fees</t>
  </si>
  <si>
    <t xml:space="preserve">Share to neutrals (COGS); institutional norm</t>
  </si>
  <si>
    <t xml:space="preserve">Ops</t>
  </si>
  <si>
    <t xml:space="preserve">45%→22%</t>
  </si>
  <si>
    <t xml:space="preserve">Heavy early acquisition, improving with brand &amp; referrals</t>
  </si>
  <si>
    <t xml:space="preserve">Founder/CFO</t>
  </si>
  <si>
    <t xml:space="preserve">G&amp;A % of revenue</t>
  </si>
  <si>
    <t xml:space="preserve">30%→15%</t>
  </si>
  <si>
    <t xml:space="preserve">Operating leverage as scale grows</t>
  </si>
  <si>
    <t xml:space="preserve">CFO</t>
  </si>
  <si>
    <t xml:space="preserve">18→170</t>
  </si>
  <si>
    <t xml:space="preserve">Scales sub-linearly to revenue (automation)</t>
  </si>
  <si>
    <t xml:space="preserve">COO</t>
  </si>
  <si>
    <t xml:space="preserve">₹14–16 L</t>
  </si>
  <si>
    <t xml:space="preserve">Blended eng/ops/GTM/G&amp;A, India market</t>
  </si>
  <si>
    <t xml:space="preserve">HR/CFO</t>
  </si>
  <si>
    <t xml:space="preserve">CAC (base)</t>
  </si>
  <si>
    <t xml:space="preserve">₹900–1,200</t>
  </si>
  <si>
    <t xml:space="preserve">Blended; bulk lender channel lowers CAC</t>
  </si>
  <si>
    <t xml:space="preserve">Marketing</t>
  </si>
  <si>
    <t xml:space="preserve">Customer life</t>
  </si>
  <si>
    <t xml:space="preserve">2.0–3.0 yrs</t>
  </si>
  <si>
    <t xml:space="preserve">Institutional + Private Court stickiness</t>
  </si>
  <si>
    <t xml:space="preserve">Scenario: Bull</t>
  </si>
  <si>
    <t xml:space="preserve">Vol ×1.4, Price ×1.1, Opex ×0.9, CAC ×0.85</t>
  </si>
  <si>
    <t xml:space="preserve">Faster lender adoption + efficiency</t>
  </si>
  <si>
    <t xml:space="preserve">Scenario: Bear</t>
  </si>
  <si>
    <t xml:space="preserve">Vol ×0.6, Price ×0.9, Opex ×1.15, CAC ×1.25</t>
  </si>
  <si>
    <t xml:space="preserve">Slow adoption, pricing pressure, higher cost</t>
  </si>
  <si>
    <t xml:space="preserve">FX (if USD view)</t>
  </si>
  <si>
    <t xml:space="preserve">₹83/USD</t>
  </si>
  <si>
    <t xml:space="preserve">Indicative; update at use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</si>
</sst>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\x"/>
    <numFmt numFmtId="166" formatCode="#,##0;\(#,##0\);\-"/>
    <numFmt numFmtId="167" formatCode="0.0%"/>
    <numFmt numFmtId="168" formatCode="0.0"/>
    <numFmt numFmtId="169" formatCode="#,##0.00;\(#,##0.00\)"/>
    <numFmt numFmtId="170" formatCode="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2"/>
      <color rgb="FF0B2A4A"/>
      <name val="Calibri"/>
      <family val="0"/>
      <charset val="1"/>
    </font>
    <font>
      <sz val="10"/>
      <color rgb="FF1F2937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1"/>
      <color rgb="FF0B2A4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1"/>
      <color rgb="FF0E7C7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b val="true"/>
      <sz val="10"/>
      <color rgb="FF0E7C7B"/>
      <name val="Calibri"/>
      <family val="0"/>
      <charset val="1"/>
    </font>
    <font>
      <b val="true"/>
      <sz val="10"/>
      <color rgb="FF0B2A4A"/>
      <name val="Calibri"/>
      <family val="0"/>
      <charset val="1"/>
    </font>
    <font>
      <b val="true"/>
      <sz val="10.5"/>
      <color rgb="FF1F2937"/>
      <name val="Calibri"/>
      <family val="0"/>
      <charset val="1"/>
    </font>
    <font>
      <sz val="10.5"/>
      <color rgb="FF1F2937"/>
      <name val="Calibri"/>
      <family val="0"/>
      <charset val="1"/>
    </font>
    <font>
      <sz val="10.5"/>
      <color rgb="FF6B7280"/>
      <name val="Calibri"/>
      <family val="0"/>
      <charset val="1"/>
    </font>
    <font>
      <sz val="10"/>
      <color rgb="FF6B7280"/>
      <name val="Calibri"/>
      <family val="0"/>
      <charset val="1"/>
    </font>
    <font>
      <i val="true"/>
      <sz val="9.5"/>
      <color rgb="FF6B7280"/>
      <name val="Calibri"/>
      <family val="0"/>
      <charset val="1"/>
    </font>
    <font>
      <b val="true"/>
      <sz val="10"/>
      <color rgb="FFB45309"/>
      <name val="Calibri"/>
      <family val="0"/>
      <charset val="1"/>
    </font>
    <font>
      <b val="true"/>
      <sz val="12"/>
      <color rgb="FFB45309"/>
      <name val="Calibri"/>
      <family val="0"/>
      <charset val="1"/>
    </font>
    <font>
      <b val="true"/>
      <sz val="10"/>
      <color rgb="FF1E7D34"/>
      <name val="Calibri"/>
      <family val="0"/>
      <charset val="1"/>
    </font>
    <font>
      <b val="true"/>
      <sz val="12"/>
      <color rgb="FF1E7D3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B45309"/>
      <name val="Calibri"/>
      <family val="0"/>
      <charset val="1"/>
    </font>
    <font>
      <b val="true"/>
      <sz val="9.5"/>
      <color rgb="FF1F2937"/>
      <name val="Calibri"/>
      <family val="0"/>
      <charset val="1"/>
    </font>
    <font>
      <sz val="9.5"/>
      <color rgb="FF1F2937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2A4A"/>
        <bgColor rgb="FF1F2937"/>
      </patternFill>
    </fill>
    <fill>
      <patternFill patternType="solid">
        <fgColor rgb="FF0E7C7B"/>
        <bgColor rgb="FF008080"/>
      </patternFill>
    </fill>
    <fill>
      <patternFill patternType="solid">
        <fgColor rgb="FFFFF3B0"/>
        <bgColor rgb="FFF2F6FA"/>
      </patternFill>
    </fill>
    <fill>
      <patternFill patternType="solid">
        <fgColor rgb="FFEAF2F8"/>
        <bgColor rgb="FFE3F1F0"/>
      </patternFill>
    </fill>
    <fill>
      <patternFill patternType="solid">
        <fgColor rgb="FFE3F1F0"/>
        <bgColor rgb="FFEAF2F8"/>
      </patternFill>
    </fill>
    <fill>
      <patternFill patternType="solid">
        <fgColor rgb="FFFFFFFF"/>
        <bgColor rgb="FFF2F6FA"/>
      </patternFill>
    </fill>
    <fill>
      <patternFill patternType="solid">
        <fgColor rgb="FFF2F6FA"/>
        <bgColor rgb="FFEA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E7"/>
      </left>
      <right style="thin">
        <color rgb="FFD5DEE7"/>
      </right>
      <top style="thin">
        <color rgb="FFD5DEE7"/>
      </top>
      <bottom style="thin">
        <color rgb="FFD5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9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D34"/>
      <rgbColor rgb="FF000080"/>
      <rgbColor rgb="FF808000"/>
      <rgbColor rgb="FF800080"/>
      <rgbColor rgb="FF0E7C7B"/>
      <rgbColor rgb="FFD9D9D9"/>
      <rgbColor rgb="FF878787"/>
      <rgbColor rgb="FF9999FF"/>
      <rgbColor rgb="FF993366"/>
      <rgbColor rgb="FFF2F6FA"/>
      <rgbColor rgb="FFE3F1F0"/>
      <rgbColor rgb="FF660066"/>
      <rgbColor rgb="FFFF8080"/>
      <rgbColor rgb="FF0066CC"/>
      <rgbColor rgb="FFD5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B2A4A"/>
      <rgbColor rgb="FF339966"/>
      <rgbColor rgb="FF003300"/>
      <rgbColor rgb="FF333300"/>
      <rgbColor rgb="FFB45309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EBITDA by year (active scenario, 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"EBITDA (₹ Cr)"</c:f>
              <c:strCache>
                <c:ptCount val="1"/>
                <c:pt idx="0">
                  <c:v>EBITDA (₹ Cr)</c:v>
                </c:pt>
              </c:strCache>
            </c:strRef>
          </c:tx>
          <c:spPr>
            <a:solidFill>
              <a:srgbClr val="0E7C7B"/>
            </a:solidFill>
            <a:ln w="12600">
              <a:solidFill>
                <a:srgbClr val="0E7C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'6. Cash &amp; runway'!$C$4:$G$4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'6. Cash &amp; runway'!$C$5:$G$5</c:f>
              <c:numCache>
                <c:formatCode>#,##0.00;\(#,##0.00\)</c:formatCode>
                <c:ptCount val="5"/>
                <c:pt idx="0">
                  <c:v>-2.96734</c:v>
                </c:pt>
                <c:pt idx="1">
                  <c:v>-5.00374</c:v>
                </c:pt>
                <c:pt idx="2">
                  <c:v>-3.65392</c:v>
                </c:pt>
                <c:pt idx="3">
                  <c:v>3.17305</c:v>
                </c:pt>
                <c:pt idx="4">
                  <c:v>18.1544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601561"/>
        <c:axId val="38342758"/>
      </c:lineChart>
      <c:catAx>
        <c:axId val="786015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342758"/>
        <c:crosses val="autoZero"/>
        <c:auto val="1"/>
        <c:lblAlgn val="ctr"/>
        <c:lblOffset val="100"/>
        <c:noMultiLvlLbl val="0"/>
      </c:catAx>
      <c:valAx>
        <c:axId val="383427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6015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4</xdr:col>
      <xdr:colOff>934200</xdr:colOff>
      <xdr:row>27</xdr:row>
      <xdr:rowOff>32400</xdr:rowOff>
    </xdr:to>
    <xdr:graphicFrame>
      <xdr:nvGraphicFramePr>
        <xdr:cNvPr id="1" name="Chart 1"/>
        <xdr:cNvGraphicFramePr/>
      </xdr:nvGraphicFramePr>
      <xdr:xfrm>
        <a:off x="0" y="270504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C5" s="5" t="n">
        <v>1</v>
      </c>
      <c r="D5" s="6" t="s">
        <v>4</v>
      </c>
    </row>
    <row r="7" customFormat="false" ht="15" hidden="false" customHeight="false" outlineLevel="0" collapsed="false">
      <c r="A7" s="7" t="s">
        <v>5</v>
      </c>
    </row>
    <row r="8" customFormat="false" ht="15" hidden="false" customHeight="false" outlineLevel="0" collapsed="false">
      <c r="A8" s="8" t="s">
        <v>6</v>
      </c>
      <c r="B8" s="8" t="s">
        <v>7</v>
      </c>
      <c r="C8" s="8" t="s">
        <v>8</v>
      </c>
      <c r="D8" s="8" t="s">
        <v>9</v>
      </c>
    </row>
    <row r="9" customFormat="false" ht="15" hidden="false" customHeight="false" outlineLevel="0" collapsed="false">
      <c r="A9" s="4" t="s">
        <v>10</v>
      </c>
      <c r="B9" s="9" t="n">
        <v>1</v>
      </c>
      <c r="C9" s="9" t="n">
        <v>1.4</v>
      </c>
      <c r="D9" s="9" t="n">
        <v>0.6</v>
      </c>
    </row>
    <row r="10" customFormat="false" ht="15" hidden="false" customHeight="false" outlineLevel="0" collapsed="false">
      <c r="A10" s="4" t="s">
        <v>11</v>
      </c>
      <c r="B10" s="9" t="n">
        <v>1</v>
      </c>
      <c r="C10" s="9" t="n">
        <v>1.1</v>
      </c>
      <c r="D10" s="9" t="n">
        <v>0.9</v>
      </c>
    </row>
    <row r="11" customFormat="false" ht="15" hidden="false" customHeight="false" outlineLevel="0" collapsed="false">
      <c r="A11" s="4" t="s">
        <v>12</v>
      </c>
      <c r="B11" s="9" t="n">
        <v>1</v>
      </c>
      <c r="C11" s="9" t="n">
        <v>0.9</v>
      </c>
      <c r="D11" s="9" t="n">
        <v>1.15</v>
      </c>
    </row>
    <row r="12" customFormat="false" ht="15" hidden="false" customHeight="false" outlineLevel="0" collapsed="false">
      <c r="A12" s="4" t="s">
        <v>13</v>
      </c>
      <c r="B12" s="9" t="n">
        <v>1</v>
      </c>
      <c r="C12" s="9" t="n">
        <v>0.85</v>
      </c>
      <c r="D12" s="9" t="n">
        <v>1.25</v>
      </c>
    </row>
    <row r="14" customFormat="false" ht="15" hidden="false" customHeight="false" outlineLevel="0" collapsed="false">
      <c r="A14" s="10" t="s">
        <v>14</v>
      </c>
    </row>
    <row r="15" customFormat="false" ht="15" hidden="false" customHeight="false" outlineLevel="0" collapsed="false">
      <c r="A15" s="4" t="s">
        <v>15</v>
      </c>
      <c r="C15" s="11" t="n">
        <f aca="false">CHOOSE($C$5,B9,C9,D9)</f>
        <v>1</v>
      </c>
    </row>
    <row r="16" customFormat="false" ht="15" hidden="false" customHeight="false" outlineLevel="0" collapsed="false">
      <c r="A16" s="4" t="s">
        <v>16</v>
      </c>
      <c r="C16" s="11" t="n">
        <f aca="false">CHOOSE($C$5,B10,C10,D10)</f>
        <v>1</v>
      </c>
    </row>
    <row r="17" customFormat="false" ht="15" hidden="false" customHeight="false" outlineLevel="0" collapsed="false">
      <c r="A17" s="4" t="s">
        <v>17</v>
      </c>
      <c r="C17" s="11" t="n">
        <f aca="false">CHOOSE($C$5,B11,C11,D11)</f>
        <v>1</v>
      </c>
    </row>
    <row r="18" customFormat="false" ht="15" hidden="false" customHeight="false" outlineLevel="0" collapsed="false">
      <c r="A18" s="4" t="s">
        <v>18</v>
      </c>
      <c r="C18" s="11" t="n">
        <f aca="false">CHOOSE($C$5,B12,C12,D12)</f>
        <v>1</v>
      </c>
    </row>
    <row r="20" customFormat="false" ht="27.75" hidden="false" customHeight="true" outlineLevel="0" collapsed="false">
      <c r="A20" s="12" t="s">
        <v>19</v>
      </c>
      <c r="B20" s="12"/>
      <c r="C20" s="12"/>
      <c r="D20" s="12"/>
      <c r="E20" s="12"/>
      <c r="F20" s="12"/>
    </row>
    <row r="21" customFormat="false" ht="27.75" hidden="false" customHeight="true" outlineLevel="0" collapsed="false">
      <c r="A21" s="12" t="s">
        <v>20</v>
      </c>
      <c r="B21" s="12"/>
      <c r="C21" s="12"/>
      <c r="D21" s="12"/>
      <c r="E21" s="12"/>
      <c r="F21" s="12"/>
    </row>
    <row r="22" customFormat="false" ht="27.75" hidden="false" customHeight="true" outlineLevel="0" collapsed="false">
      <c r="A22" s="12" t="s">
        <v>21</v>
      </c>
      <c r="B22" s="12"/>
      <c r="C22" s="12"/>
      <c r="D22" s="12"/>
      <c r="E22" s="12"/>
      <c r="F22" s="12"/>
    </row>
  </sheetData>
  <mergeCells count="5">
    <mergeCell ref="A1:F1"/>
    <mergeCell ref="A2:F2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3" style="0" width="13"/>
  </cols>
  <sheetData>
    <row r="1" customFormat="false" ht="27.75" hidden="false" customHeight="true" outlineLevel="0" collapsed="false">
      <c r="A1" s="1" t="s">
        <v>22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23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C4" s="13" t="s">
        <v>24</v>
      </c>
      <c r="D4" s="13" t="s">
        <v>25</v>
      </c>
      <c r="E4" s="13" t="s">
        <v>26</v>
      </c>
      <c r="F4" s="13" t="s">
        <v>27</v>
      </c>
      <c r="G4" s="13" t="s">
        <v>28</v>
      </c>
    </row>
    <row r="5" customFormat="false" ht="18.75" hidden="false" customHeight="true" outlineLevel="0" collapsed="false">
      <c r="A5" s="14" t="s">
        <v>29</v>
      </c>
      <c r="B5" s="14"/>
      <c r="C5" s="14"/>
      <c r="D5" s="14"/>
      <c r="E5" s="14"/>
      <c r="F5" s="14"/>
      <c r="G5" s="14"/>
    </row>
    <row r="6" customFormat="false" ht="15" hidden="false" customHeight="false" outlineLevel="0" collapsed="false">
      <c r="A6" s="4" t="s">
        <v>30</v>
      </c>
      <c r="C6" s="15" t="n">
        <v>6000</v>
      </c>
      <c r="D6" s="15" t="n">
        <v>30000</v>
      </c>
      <c r="E6" s="15" t="n">
        <v>90000</v>
      </c>
      <c r="F6" s="15" t="n">
        <v>180000</v>
      </c>
      <c r="G6" s="15" t="n">
        <v>300000</v>
      </c>
    </row>
    <row r="7" customFormat="false" ht="15" hidden="false" customHeight="false" outlineLevel="0" collapsed="false">
      <c r="A7" s="4" t="s">
        <v>31</v>
      </c>
      <c r="C7" s="15" t="n">
        <v>150</v>
      </c>
      <c r="D7" s="15" t="n">
        <v>500</v>
      </c>
      <c r="E7" s="15" t="n">
        <v>1200</v>
      </c>
      <c r="F7" s="15" t="n">
        <v>2400</v>
      </c>
      <c r="G7" s="15" t="n">
        <v>4000</v>
      </c>
    </row>
    <row r="8" customFormat="false" ht="15" hidden="false" customHeight="false" outlineLevel="0" collapsed="false">
      <c r="A8" s="4" t="s">
        <v>32</v>
      </c>
      <c r="C8" s="15" t="n">
        <v>200</v>
      </c>
      <c r="D8" s="15" t="n">
        <v>800</v>
      </c>
      <c r="E8" s="15" t="n">
        <v>2000</v>
      </c>
      <c r="F8" s="15" t="n">
        <v>4000</v>
      </c>
      <c r="G8" s="15" t="n">
        <v>7000</v>
      </c>
    </row>
    <row r="9" customFormat="false" ht="15" hidden="false" customHeight="false" outlineLevel="0" collapsed="false">
      <c r="A9" s="4" t="s">
        <v>33</v>
      </c>
      <c r="C9" s="15" t="n">
        <v>10</v>
      </c>
      <c r="D9" s="15" t="n">
        <v>40</v>
      </c>
      <c r="E9" s="15" t="n">
        <v>120</v>
      </c>
      <c r="F9" s="15" t="n">
        <v>260</v>
      </c>
      <c r="G9" s="15" t="n">
        <v>450</v>
      </c>
    </row>
    <row r="10" customFormat="false" ht="15" hidden="false" customHeight="false" outlineLevel="0" collapsed="false">
      <c r="A10" s="4" t="s">
        <v>34</v>
      </c>
      <c r="C10" s="15" t="n">
        <v>20</v>
      </c>
      <c r="D10" s="15" t="n">
        <v>120</v>
      </c>
      <c r="E10" s="15" t="n">
        <v>400</v>
      </c>
      <c r="F10" s="15" t="n">
        <v>900</v>
      </c>
      <c r="G10" s="15" t="n">
        <v>1600</v>
      </c>
    </row>
    <row r="11" customFormat="false" ht="15" hidden="false" customHeight="false" outlineLevel="0" collapsed="false">
      <c r="A11" s="4" t="s">
        <v>35</v>
      </c>
      <c r="C11" s="15" t="n">
        <v>15</v>
      </c>
      <c r="D11" s="15" t="n">
        <v>80</v>
      </c>
      <c r="E11" s="15" t="n">
        <v>220</v>
      </c>
      <c r="F11" s="15" t="n">
        <v>450</v>
      </c>
      <c r="G11" s="15" t="n">
        <v>800</v>
      </c>
    </row>
    <row r="12" customFormat="false" ht="15" hidden="false" customHeight="false" outlineLevel="0" collapsed="false">
      <c r="A12" s="4" t="s">
        <v>36</v>
      </c>
      <c r="C12" s="15" t="n">
        <v>300</v>
      </c>
      <c r="D12" s="15" t="n">
        <v>2000</v>
      </c>
      <c r="E12" s="15" t="n">
        <v>6000</v>
      </c>
      <c r="F12" s="15" t="n">
        <v>14000</v>
      </c>
      <c r="G12" s="15" t="n">
        <v>26000</v>
      </c>
    </row>
    <row r="13" customFormat="false" ht="15" hidden="false" customHeight="false" outlineLevel="0" collapsed="false">
      <c r="A13" s="4" t="s">
        <v>37</v>
      </c>
      <c r="C13" s="15" t="n">
        <v>300</v>
      </c>
      <c r="D13" s="15" t="n">
        <v>1200</v>
      </c>
      <c r="E13" s="15" t="n">
        <v>3000</v>
      </c>
      <c r="F13" s="15" t="n">
        <v>6000</v>
      </c>
      <c r="G13" s="15" t="n">
        <v>10000</v>
      </c>
    </row>
    <row r="14" customFormat="false" ht="15" hidden="false" customHeight="false" outlineLevel="0" collapsed="false">
      <c r="A14" s="4" t="s">
        <v>38</v>
      </c>
      <c r="C14" s="15" t="n">
        <v>2</v>
      </c>
      <c r="D14" s="15" t="n">
        <v>8</v>
      </c>
      <c r="E14" s="15" t="n">
        <v>20</v>
      </c>
      <c r="F14" s="15" t="n">
        <v>40</v>
      </c>
      <c r="G14" s="15" t="n">
        <v>70</v>
      </c>
    </row>
    <row r="15" customFormat="false" ht="18.75" hidden="false" customHeight="true" outlineLevel="0" collapsed="false">
      <c r="A15" s="14" t="s">
        <v>39</v>
      </c>
      <c r="B15" s="14"/>
      <c r="C15" s="14"/>
      <c r="D15" s="14"/>
      <c r="E15" s="14"/>
      <c r="F15" s="14"/>
      <c r="G15" s="14"/>
    </row>
    <row r="16" customFormat="false" ht="15" hidden="false" customHeight="false" outlineLevel="0" collapsed="false">
      <c r="A16" s="4" t="s">
        <v>40</v>
      </c>
      <c r="C16" s="15" t="n">
        <v>2400</v>
      </c>
      <c r="D16" s="15" t="n">
        <v>2450</v>
      </c>
      <c r="E16" s="15" t="n">
        <v>2600</v>
      </c>
      <c r="F16" s="15" t="n">
        <v>2600</v>
      </c>
      <c r="G16" s="15" t="n">
        <v>2750</v>
      </c>
    </row>
    <row r="17" customFormat="false" ht="15" hidden="false" customHeight="false" outlineLevel="0" collapsed="false">
      <c r="A17" s="4" t="s">
        <v>41</v>
      </c>
      <c r="C17" s="15" t="n">
        <v>60000</v>
      </c>
      <c r="D17" s="15" t="n">
        <v>62000</v>
      </c>
      <c r="E17" s="15" t="n">
        <v>64000</v>
      </c>
      <c r="F17" s="15" t="n">
        <v>66000</v>
      </c>
      <c r="G17" s="15" t="n">
        <v>68000</v>
      </c>
    </row>
    <row r="18" customFormat="false" ht="15" hidden="false" customHeight="false" outlineLevel="0" collapsed="false">
      <c r="A18" s="4" t="s">
        <v>42</v>
      </c>
      <c r="C18" s="15" t="n">
        <v>18000</v>
      </c>
      <c r="D18" s="15" t="n">
        <v>18500</v>
      </c>
      <c r="E18" s="15" t="n">
        <v>19000</v>
      </c>
      <c r="F18" s="15" t="n">
        <v>19500</v>
      </c>
      <c r="G18" s="15" t="n">
        <v>20000</v>
      </c>
    </row>
    <row r="19" customFormat="false" ht="15" hidden="false" customHeight="false" outlineLevel="0" collapsed="false">
      <c r="A19" s="4" t="s">
        <v>43</v>
      </c>
      <c r="C19" s="15" t="n">
        <v>180000</v>
      </c>
      <c r="D19" s="15" t="n">
        <v>190000</v>
      </c>
      <c r="E19" s="15" t="n">
        <v>200000</v>
      </c>
      <c r="F19" s="15" t="n">
        <v>210000</v>
      </c>
      <c r="G19" s="15" t="n">
        <v>220000</v>
      </c>
    </row>
    <row r="20" customFormat="false" ht="15" hidden="false" customHeight="false" outlineLevel="0" collapsed="false">
      <c r="A20" s="4" t="s">
        <v>44</v>
      </c>
      <c r="C20" s="15" t="n">
        <v>25000</v>
      </c>
      <c r="D20" s="15" t="n">
        <v>26000</v>
      </c>
      <c r="E20" s="15" t="n">
        <v>27000</v>
      </c>
      <c r="F20" s="15" t="n">
        <v>28000</v>
      </c>
      <c r="G20" s="15" t="n">
        <v>29000</v>
      </c>
    </row>
    <row r="21" customFormat="false" ht="15" hidden="false" customHeight="false" outlineLevel="0" collapsed="false">
      <c r="A21" s="4" t="s">
        <v>45</v>
      </c>
      <c r="C21" s="15" t="n">
        <v>60000</v>
      </c>
      <c r="D21" s="15" t="n">
        <v>63000</v>
      </c>
      <c r="E21" s="15" t="n">
        <v>66000</v>
      </c>
      <c r="F21" s="15" t="n">
        <v>69000</v>
      </c>
      <c r="G21" s="15" t="n">
        <v>72000</v>
      </c>
    </row>
    <row r="22" customFormat="false" ht="15" hidden="false" customHeight="false" outlineLevel="0" collapsed="false">
      <c r="A22" s="4" t="s">
        <v>46</v>
      </c>
      <c r="C22" s="15" t="n">
        <v>800</v>
      </c>
      <c r="D22" s="15" t="n">
        <v>850</v>
      </c>
      <c r="E22" s="15" t="n">
        <v>900</v>
      </c>
      <c r="F22" s="15" t="n">
        <v>950</v>
      </c>
      <c r="G22" s="15" t="n">
        <v>1000</v>
      </c>
    </row>
    <row r="23" customFormat="false" ht="15" hidden="false" customHeight="false" outlineLevel="0" collapsed="false">
      <c r="A23" s="4" t="s">
        <v>47</v>
      </c>
      <c r="C23" s="15" t="n">
        <v>12000</v>
      </c>
      <c r="D23" s="15" t="n">
        <v>12500</v>
      </c>
      <c r="E23" s="15" t="n">
        <v>13000</v>
      </c>
      <c r="F23" s="15" t="n">
        <v>13500</v>
      </c>
      <c r="G23" s="15" t="n">
        <v>14000</v>
      </c>
    </row>
    <row r="24" customFormat="false" ht="15" hidden="false" customHeight="false" outlineLevel="0" collapsed="false">
      <c r="A24" s="4" t="s">
        <v>48</v>
      </c>
      <c r="C24" s="15" t="n">
        <v>600000</v>
      </c>
      <c r="D24" s="15" t="n">
        <v>650000</v>
      </c>
      <c r="E24" s="15" t="n">
        <v>700000</v>
      </c>
      <c r="F24" s="15" t="n">
        <v>750000</v>
      </c>
      <c r="G24" s="15" t="n">
        <v>800000</v>
      </c>
    </row>
    <row r="25" customFormat="false" ht="18.75" hidden="false" customHeight="true" outlineLevel="0" collapsed="false">
      <c r="A25" s="14" t="s">
        <v>49</v>
      </c>
      <c r="B25" s="14"/>
      <c r="C25" s="14"/>
      <c r="D25" s="14"/>
      <c r="E25" s="14"/>
      <c r="F25" s="14"/>
      <c r="G25" s="14"/>
    </row>
    <row r="26" customFormat="false" ht="15" hidden="false" customHeight="false" outlineLevel="0" collapsed="false">
      <c r="A26" s="4" t="s">
        <v>50</v>
      </c>
      <c r="C26" s="15" t="n">
        <v>18</v>
      </c>
      <c r="D26" s="15" t="n">
        <v>40</v>
      </c>
      <c r="E26" s="15" t="n">
        <v>75</v>
      </c>
      <c r="F26" s="15" t="n">
        <v>120</v>
      </c>
      <c r="G26" s="15" t="n">
        <v>170</v>
      </c>
    </row>
    <row r="27" customFormat="false" ht="15" hidden="false" customHeight="false" outlineLevel="0" collapsed="false">
      <c r="A27" s="4" t="s">
        <v>51</v>
      </c>
      <c r="C27" s="15" t="n">
        <v>1400000</v>
      </c>
      <c r="D27" s="15" t="n">
        <v>1450000</v>
      </c>
      <c r="E27" s="15" t="n">
        <v>1500000</v>
      </c>
      <c r="F27" s="15" t="n">
        <v>1550000</v>
      </c>
      <c r="G27" s="15" t="n">
        <v>1600000</v>
      </c>
    </row>
    <row r="28" customFormat="false" ht="15" hidden="false" customHeight="false" outlineLevel="0" collapsed="false">
      <c r="A28" s="4" t="s">
        <v>52</v>
      </c>
      <c r="C28" s="15" t="n">
        <v>120</v>
      </c>
      <c r="D28" s="15" t="n">
        <v>110</v>
      </c>
      <c r="E28" s="15" t="n">
        <v>100</v>
      </c>
      <c r="F28" s="15" t="n">
        <v>95</v>
      </c>
      <c r="G28" s="15" t="n">
        <v>90</v>
      </c>
    </row>
    <row r="29" customFormat="false" ht="15" hidden="false" customHeight="false" outlineLevel="0" collapsed="false">
      <c r="A29" s="4" t="s">
        <v>53</v>
      </c>
      <c r="C29" s="16" t="n">
        <v>0.45</v>
      </c>
      <c r="D29" s="16" t="n">
        <v>0.35</v>
      </c>
      <c r="E29" s="16" t="n">
        <v>0.28</v>
      </c>
      <c r="F29" s="16" t="n">
        <v>0.24</v>
      </c>
      <c r="G29" s="16" t="n">
        <v>0.22</v>
      </c>
    </row>
    <row r="30" customFormat="false" ht="15" hidden="false" customHeight="false" outlineLevel="0" collapsed="false">
      <c r="A30" s="4" t="s">
        <v>54</v>
      </c>
      <c r="C30" s="16" t="n">
        <v>0.3</v>
      </c>
      <c r="D30" s="16" t="n">
        <v>0.22</v>
      </c>
      <c r="E30" s="16" t="n">
        <v>0.18</v>
      </c>
      <c r="F30" s="16" t="n">
        <v>0.16</v>
      </c>
      <c r="G30" s="16" t="n">
        <v>0.15</v>
      </c>
    </row>
    <row r="31" customFormat="false" ht="15" hidden="false" customHeight="false" outlineLevel="0" collapsed="false">
      <c r="A31" s="4" t="s">
        <v>55</v>
      </c>
      <c r="C31" s="16" t="n">
        <v>0.45</v>
      </c>
      <c r="D31" s="16" t="n">
        <v>0.45</v>
      </c>
      <c r="E31" s="16" t="n">
        <v>0.44</v>
      </c>
      <c r="F31" s="16" t="n">
        <v>0.44</v>
      </c>
      <c r="G31" s="16" t="n">
        <v>0.43</v>
      </c>
    </row>
    <row r="32" customFormat="false" ht="18.75" hidden="false" customHeight="true" outlineLevel="0" collapsed="false">
      <c r="A32" s="14" t="s">
        <v>56</v>
      </c>
      <c r="B32" s="14"/>
      <c r="C32" s="14"/>
      <c r="D32" s="14"/>
      <c r="E32" s="14"/>
      <c r="F32" s="14"/>
      <c r="G32" s="14"/>
    </row>
    <row r="33" customFormat="false" ht="15" hidden="false" customHeight="false" outlineLevel="0" collapsed="false">
      <c r="A33" s="4" t="s">
        <v>57</v>
      </c>
      <c r="C33" s="15" t="n">
        <v>1200</v>
      </c>
      <c r="D33" s="15" t="n">
        <v>1100</v>
      </c>
      <c r="E33" s="15" t="n">
        <v>1000</v>
      </c>
      <c r="F33" s="15" t="n">
        <v>950</v>
      </c>
      <c r="G33" s="15" t="n">
        <v>900</v>
      </c>
    </row>
    <row r="34" customFormat="false" ht="15" hidden="false" customHeight="false" outlineLevel="0" collapsed="false">
      <c r="A34" s="4" t="s">
        <v>58</v>
      </c>
      <c r="C34" s="17" t="n">
        <v>2</v>
      </c>
      <c r="D34" s="17" t="n">
        <v>2.2</v>
      </c>
      <c r="E34" s="17" t="n">
        <v>2.5</v>
      </c>
      <c r="F34" s="17" t="n">
        <v>2.7</v>
      </c>
      <c r="G34" s="17" t="n">
        <v>3</v>
      </c>
    </row>
    <row r="35" customFormat="false" ht="15" hidden="false" customHeight="false" outlineLevel="0" collapsed="false">
      <c r="A35" s="4" t="s">
        <v>59</v>
      </c>
      <c r="C35" s="16" t="n">
        <v>0.55</v>
      </c>
      <c r="D35" s="16" t="n">
        <v>0.56</v>
      </c>
      <c r="E35" s="16" t="n">
        <v>0.58</v>
      </c>
      <c r="F35" s="16" t="n">
        <v>0.6</v>
      </c>
      <c r="G35" s="16" t="n">
        <v>0.62</v>
      </c>
    </row>
  </sheetData>
  <mergeCells count="6">
    <mergeCell ref="A1:G1"/>
    <mergeCell ref="A2:G2"/>
    <mergeCell ref="A5:G5"/>
    <mergeCell ref="A15:G15"/>
    <mergeCell ref="A25:G25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3" style="0" width="15"/>
  </cols>
  <sheetData>
    <row r="1" customFormat="false" ht="27.7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61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C4" s="13" t="s">
        <v>24</v>
      </c>
      <c r="D4" s="13" t="s">
        <v>25</v>
      </c>
      <c r="E4" s="13" t="s">
        <v>26</v>
      </c>
      <c r="F4" s="13" t="s">
        <v>27</v>
      </c>
      <c r="G4" s="13" t="s">
        <v>28</v>
      </c>
    </row>
    <row r="5" customFormat="false" ht="15" hidden="false" customHeight="false" outlineLevel="0" collapsed="false">
      <c r="A5" s="4" t="s">
        <v>62</v>
      </c>
      <c r="C5" s="18" t="n">
        <f aca="false">'1. Drivers (base)'!C6*'0. Scenario &amp; Read me'!$C$15*'1. Drivers (base)'!C16*'0. Scenario &amp; Read me'!$C$16</f>
        <v>14400000</v>
      </c>
      <c r="D5" s="18" t="n">
        <f aca="false">'1. Drivers (base)'!D6*'0. Scenario &amp; Read me'!$C$15*'1. Drivers (base)'!D16*'0. Scenario &amp; Read me'!$C$16</f>
        <v>73500000</v>
      </c>
      <c r="E5" s="18" t="n">
        <f aca="false">'1. Drivers (base)'!E6*'0. Scenario &amp; Read me'!$C$15*'1. Drivers (base)'!E16*'0. Scenario &amp; Read me'!$C$16</f>
        <v>234000000</v>
      </c>
      <c r="F5" s="18" t="n">
        <f aca="false">'1. Drivers (base)'!F6*'0. Scenario &amp; Read me'!$C$15*'1. Drivers (base)'!F16*'0. Scenario &amp; Read me'!$C$16</f>
        <v>468000000</v>
      </c>
      <c r="G5" s="18" t="n">
        <f aca="false">'1. Drivers (base)'!G6*'0. Scenario &amp; Read me'!$C$15*'1. Drivers (base)'!G16*'0. Scenario &amp; Read me'!$C$16</f>
        <v>825000000</v>
      </c>
    </row>
    <row r="6" customFormat="false" ht="15" hidden="false" customHeight="false" outlineLevel="0" collapsed="false">
      <c r="A6" s="4" t="s">
        <v>63</v>
      </c>
      <c r="C6" s="18" t="n">
        <f aca="false">'1. Drivers (base)'!C7*'0. Scenario &amp; Read me'!$C$15*'1. Drivers (base)'!C17*'0. Scenario &amp; Read me'!$C$16</f>
        <v>9000000</v>
      </c>
      <c r="D6" s="18" t="n">
        <f aca="false">'1. Drivers (base)'!D7*'0. Scenario &amp; Read me'!$C$15*'1. Drivers (base)'!D17*'0. Scenario &amp; Read me'!$C$16</f>
        <v>31000000</v>
      </c>
      <c r="E6" s="18" t="n">
        <f aca="false">'1. Drivers (base)'!E7*'0. Scenario &amp; Read me'!$C$15*'1. Drivers (base)'!E17*'0. Scenario &amp; Read me'!$C$16</f>
        <v>76800000</v>
      </c>
      <c r="F6" s="18" t="n">
        <f aca="false">'1. Drivers (base)'!F7*'0. Scenario &amp; Read me'!$C$15*'1. Drivers (base)'!F17*'0. Scenario &amp; Read me'!$C$16</f>
        <v>158400000</v>
      </c>
      <c r="G6" s="18" t="n">
        <f aca="false">'1. Drivers (base)'!G7*'0. Scenario &amp; Read me'!$C$15*'1. Drivers (base)'!G17*'0. Scenario &amp; Read me'!$C$16</f>
        <v>272000000</v>
      </c>
    </row>
    <row r="7" customFormat="false" ht="15" hidden="false" customHeight="false" outlineLevel="0" collapsed="false">
      <c r="A7" s="4" t="s">
        <v>64</v>
      </c>
      <c r="C7" s="18" t="n">
        <f aca="false">'1. Drivers (base)'!C8*'0. Scenario &amp; Read me'!$C$15*'1. Drivers (base)'!C18*'0. Scenario &amp; Read me'!$C$16</f>
        <v>3600000</v>
      </c>
      <c r="D7" s="18" t="n">
        <f aca="false">'1. Drivers (base)'!D8*'0. Scenario &amp; Read me'!$C$15*'1. Drivers (base)'!D18*'0. Scenario &amp; Read me'!$C$16</f>
        <v>14800000</v>
      </c>
      <c r="E7" s="18" t="n">
        <f aca="false">'1. Drivers (base)'!E8*'0. Scenario &amp; Read me'!$C$15*'1. Drivers (base)'!E18*'0. Scenario &amp; Read me'!$C$16</f>
        <v>38000000</v>
      </c>
      <c r="F7" s="18" t="n">
        <f aca="false">'1. Drivers (base)'!F8*'0. Scenario &amp; Read me'!$C$15*'1. Drivers (base)'!F18*'0. Scenario &amp; Read me'!$C$16</f>
        <v>78000000</v>
      </c>
      <c r="G7" s="18" t="n">
        <f aca="false">'1. Drivers (base)'!G8*'0. Scenario &amp; Read me'!$C$15*'1. Drivers (base)'!G18*'0. Scenario &amp; Read me'!$C$16</f>
        <v>140000000</v>
      </c>
    </row>
    <row r="8" customFormat="false" ht="15" hidden="false" customHeight="false" outlineLevel="0" collapsed="false">
      <c r="A8" s="4" t="s">
        <v>65</v>
      </c>
      <c r="C8" s="18" t="n">
        <f aca="false">'1. Drivers (base)'!C9*'0. Scenario &amp; Read me'!$C$15*'1. Drivers (base)'!C19*'0. Scenario &amp; Read me'!$C$16</f>
        <v>1800000</v>
      </c>
      <c r="D8" s="18" t="n">
        <f aca="false">'1. Drivers (base)'!D9*'0. Scenario &amp; Read me'!$C$15*'1. Drivers (base)'!D19*'0. Scenario &amp; Read me'!$C$16</f>
        <v>7600000</v>
      </c>
      <c r="E8" s="18" t="n">
        <f aca="false">'1. Drivers (base)'!E9*'0. Scenario &amp; Read me'!$C$15*'1. Drivers (base)'!E19*'0. Scenario &amp; Read me'!$C$16</f>
        <v>24000000</v>
      </c>
      <c r="F8" s="18" t="n">
        <f aca="false">'1. Drivers (base)'!F9*'0. Scenario &amp; Read me'!$C$15*'1. Drivers (base)'!F19*'0. Scenario &amp; Read me'!$C$16</f>
        <v>54600000</v>
      </c>
      <c r="G8" s="18" t="n">
        <f aca="false">'1. Drivers (base)'!G9*'0. Scenario &amp; Read me'!$C$15*'1. Drivers (base)'!G19*'0. Scenario &amp; Read me'!$C$16</f>
        <v>99000000</v>
      </c>
    </row>
    <row r="9" customFormat="false" ht="15" hidden="false" customHeight="false" outlineLevel="0" collapsed="false">
      <c r="A9" s="4" t="s">
        <v>66</v>
      </c>
      <c r="C9" s="18" t="n">
        <f aca="false">'1. Drivers (base)'!C10*'0. Scenario &amp; Read me'!$C$15*'1. Drivers (base)'!C20*'0. Scenario &amp; Read me'!$C$16</f>
        <v>500000</v>
      </c>
      <c r="D9" s="18" t="n">
        <f aca="false">'1. Drivers (base)'!D10*'0. Scenario &amp; Read me'!$C$15*'1. Drivers (base)'!D20*'0. Scenario &amp; Read me'!$C$16</f>
        <v>3120000</v>
      </c>
      <c r="E9" s="18" t="n">
        <f aca="false">'1. Drivers (base)'!E10*'0. Scenario &amp; Read me'!$C$15*'1. Drivers (base)'!E20*'0. Scenario &amp; Read me'!$C$16</f>
        <v>10800000</v>
      </c>
      <c r="F9" s="18" t="n">
        <f aca="false">'1. Drivers (base)'!F10*'0. Scenario &amp; Read me'!$C$15*'1. Drivers (base)'!F20*'0. Scenario &amp; Read me'!$C$16</f>
        <v>25200000</v>
      </c>
      <c r="G9" s="18" t="n">
        <f aca="false">'1. Drivers (base)'!G10*'0. Scenario &amp; Read me'!$C$15*'1. Drivers (base)'!G20*'0. Scenario &amp; Read me'!$C$16</f>
        <v>46400000</v>
      </c>
    </row>
    <row r="10" customFormat="false" ht="15" hidden="false" customHeight="false" outlineLevel="0" collapsed="false">
      <c r="A10" s="4" t="s">
        <v>67</v>
      </c>
      <c r="C10" s="18" t="n">
        <f aca="false">'1. Drivers (base)'!C11*'0. Scenario &amp; Read me'!$C$15*'1. Drivers (base)'!C21*'0. Scenario &amp; Read me'!$C$16</f>
        <v>900000</v>
      </c>
      <c r="D10" s="18" t="n">
        <f aca="false">'1. Drivers (base)'!D11*'0. Scenario &amp; Read me'!$C$15*'1. Drivers (base)'!D21*'0. Scenario &amp; Read me'!$C$16</f>
        <v>5040000</v>
      </c>
      <c r="E10" s="18" t="n">
        <f aca="false">'1. Drivers (base)'!E11*'0. Scenario &amp; Read me'!$C$15*'1. Drivers (base)'!E21*'0. Scenario &amp; Read me'!$C$16</f>
        <v>14520000</v>
      </c>
      <c r="F10" s="18" t="n">
        <f aca="false">'1. Drivers (base)'!F11*'0. Scenario &amp; Read me'!$C$15*'1. Drivers (base)'!F21*'0. Scenario &amp; Read me'!$C$16</f>
        <v>31050000</v>
      </c>
      <c r="G10" s="18" t="n">
        <f aca="false">'1. Drivers (base)'!G11*'0. Scenario &amp; Read me'!$C$15*'1. Drivers (base)'!G21*'0. Scenario &amp; Read me'!$C$16</f>
        <v>57600000</v>
      </c>
    </row>
    <row r="11" customFormat="false" ht="15" hidden="false" customHeight="false" outlineLevel="0" collapsed="false">
      <c r="A11" s="4" t="s">
        <v>36</v>
      </c>
      <c r="C11" s="18" t="n">
        <f aca="false">'1. Drivers (base)'!C12*'0. Scenario &amp; Read me'!$C$15*'1. Drivers (base)'!C22*'0. Scenario &amp; Read me'!$C$16</f>
        <v>240000</v>
      </c>
      <c r="D11" s="18" t="n">
        <f aca="false">'1. Drivers (base)'!D12*'0. Scenario &amp; Read me'!$C$15*'1. Drivers (base)'!D22*'0. Scenario &amp; Read me'!$C$16</f>
        <v>1700000</v>
      </c>
      <c r="E11" s="18" t="n">
        <f aca="false">'1. Drivers (base)'!E12*'0. Scenario &amp; Read me'!$C$15*'1. Drivers (base)'!E22*'0. Scenario &amp; Read me'!$C$16</f>
        <v>5400000</v>
      </c>
      <c r="F11" s="18" t="n">
        <f aca="false">'1. Drivers (base)'!F12*'0. Scenario &amp; Read me'!$C$15*'1. Drivers (base)'!F22*'0. Scenario &amp; Read me'!$C$16</f>
        <v>13300000</v>
      </c>
      <c r="G11" s="18" t="n">
        <f aca="false">'1. Drivers (base)'!G12*'0. Scenario &amp; Read me'!$C$15*'1. Drivers (base)'!G22*'0. Scenario &amp; Read me'!$C$16</f>
        <v>26000000</v>
      </c>
    </row>
    <row r="12" customFormat="false" ht="15" hidden="false" customHeight="false" outlineLevel="0" collapsed="false">
      <c r="A12" s="4" t="s">
        <v>68</v>
      </c>
      <c r="C12" s="18" t="n">
        <f aca="false">'1. Drivers (base)'!C13*'0. Scenario &amp; Read me'!$C$15*'1. Drivers (base)'!C23*'0. Scenario &amp; Read me'!$C$16</f>
        <v>3600000</v>
      </c>
      <c r="D12" s="18" t="n">
        <f aca="false">'1. Drivers (base)'!D13*'0. Scenario &amp; Read me'!$C$15*'1. Drivers (base)'!D23*'0. Scenario &amp; Read me'!$C$16</f>
        <v>15000000</v>
      </c>
      <c r="E12" s="18" t="n">
        <f aca="false">'1. Drivers (base)'!E13*'0. Scenario &amp; Read me'!$C$15*'1. Drivers (base)'!E23*'0. Scenario &amp; Read me'!$C$16</f>
        <v>39000000</v>
      </c>
      <c r="F12" s="18" t="n">
        <f aca="false">'1. Drivers (base)'!F13*'0. Scenario &amp; Read me'!$C$15*'1. Drivers (base)'!F23*'0. Scenario &amp; Read me'!$C$16</f>
        <v>81000000</v>
      </c>
      <c r="G12" s="18" t="n">
        <f aca="false">'1. Drivers (base)'!G13*'0. Scenario &amp; Read me'!$C$15*'1. Drivers (base)'!G23*'0. Scenario &amp; Read me'!$C$16</f>
        <v>140000000</v>
      </c>
    </row>
    <row r="13" customFormat="false" ht="15" hidden="false" customHeight="false" outlineLevel="0" collapsed="false">
      <c r="A13" s="4" t="s">
        <v>69</v>
      </c>
      <c r="C13" s="18" t="n">
        <f aca="false">'1. Drivers (base)'!C14*'0. Scenario &amp; Read me'!$C$15*'1. Drivers (base)'!C24*'0. Scenario &amp; Read me'!$C$16</f>
        <v>1200000</v>
      </c>
      <c r="D13" s="18" t="n">
        <f aca="false">'1. Drivers (base)'!D14*'0. Scenario &amp; Read me'!$C$15*'1. Drivers (base)'!D24*'0. Scenario &amp; Read me'!$C$16</f>
        <v>5200000</v>
      </c>
      <c r="E13" s="18" t="n">
        <f aca="false">'1. Drivers (base)'!E14*'0. Scenario &amp; Read me'!$C$15*'1. Drivers (base)'!E24*'0. Scenario &amp; Read me'!$C$16</f>
        <v>14000000</v>
      </c>
      <c r="F13" s="18" t="n">
        <f aca="false">'1. Drivers (base)'!F14*'0. Scenario &amp; Read me'!$C$15*'1. Drivers (base)'!F24*'0. Scenario &amp; Read me'!$C$16</f>
        <v>30000000</v>
      </c>
      <c r="G13" s="18" t="n">
        <f aca="false">'1. Drivers (base)'!G14*'0. Scenario &amp; Read me'!$C$15*'1. Drivers (base)'!G24*'0. Scenario &amp; Read me'!$C$16</f>
        <v>56000000</v>
      </c>
    </row>
    <row r="14" customFormat="false" ht="18.75" hidden="false" customHeight="true" outlineLevel="0" collapsed="false">
      <c r="A14" s="14" t="s">
        <v>70</v>
      </c>
      <c r="B14" s="14"/>
      <c r="C14" s="14"/>
      <c r="D14" s="14"/>
      <c r="E14" s="14"/>
      <c r="F14" s="14"/>
      <c r="G14" s="14"/>
    </row>
    <row r="15" customFormat="false" ht="15" hidden="false" customHeight="false" outlineLevel="0" collapsed="false">
      <c r="A15" s="19" t="s">
        <v>71</v>
      </c>
      <c r="C15" s="20" t="n">
        <f aca="false">C5+C6+C7+C8+C9+C10+C11+C12+C13</f>
        <v>35240000</v>
      </c>
      <c r="D15" s="20" t="n">
        <f aca="false">D5+D6+D7+D8+D9+D10+D11+D12+D13</f>
        <v>156960000</v>
      </c>
      <c r="E15" s="20" t="n">
        <f aca="false">E5+E6+E7+E8+E9+E10+E11+E12+E13</f>
        <v>456520000</v>
      </c>
      <c r="F15" s="20" t="n">
        <f aca="false">F5+F6+F7+F8+F9+F10+F11+F12+F13</f>
        <v>939550000</v>
      </c>
      <c r="G15" s="20" t="n">
        <f aca="false">G5+G6+G7+G8+G9+G10+G11+G12+G13</f>
        <v>1662000000</v>
      </c>
    </row>
    <row r="16" customFormat="false" ht="15" hidden="false" customHeight="false" outlineLevel="0" collapsed="false">
      <c r="A16" s="21" t="s">
        <v>72</v>
      </c>
      <c r="C16" s="22" t="n">
        <f aca="false">C15/10000000</f>
        <v>3.524</v>
      </c>
      <c r="D16" s="22" t="n">
        <f aca="false">D15/10000000</f>
        <v>15.696</v>
      </c>
      <c r="E16" s="22" t="n">
        <f aca="false">E15/10000000</f>
        <v>45.652</v>
      </c>
      <c r="F16" s="22" t="n">
        <f aca="false">F15/10000000</f>
        <v>93.955</v>
      </c>
      <c r="G16" s="22" t="n">
        <f aca="false">G15/10000000</f>
        <v>166.2</v>
      </c>
    </row>
  </sheetData>
  <mergeCells count="3">
    <mergeCell ref="A1:G1"/>
    <mergeCell ref="A2:G2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3" style="0" width="15"/>
  </cols>
  <sheetData>
    <row r="1" customFormat="false" ht="27.75" hidden="false" customHeight="true" outlineLevel="0" collapsed="false">
      <c r="A1" s="1" t="s">
        <v>73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74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C4" s="13" t="s">
        <v>24</v>
      </c>
      <c r="D4" s="13" t="s">
        <v>25</v>
      </c>
      <c r="E4" s="13" t="s">
        <v>26</v>
      </c>
      <c r="F4" s="13" t="s">
        <v>27</v>
      </c>
      <c r="G4" s="13" t="s">
        <v>28</v>
      </c>
    </row>
    <row r="5" customFormat="false" ht="18.75" hidden="false" customHeight="true" outlineLevel="0" collapsed="false">
      <c r="A5" s="14" t="s">
        <v>75</v>
      </c>
      <c r="B5" s="14"/>
      <c r="C5" s="14"/>
      <c r="D5" s="14"/>
      <c r="E5" s="14"/>
      <c r="F5" s="14"/>
      <c r="G5" s="14"/>
    </row>
    <row r="6" customFormat="false" ht="15" hidden="false" customHeight="false" outlineLevel="0" collapsed="false">
      <c r="A6" s="4" t="s">
        <v>76</v>
      </c>
      <c r="C6" s="18" t="n">
        <f aca="false">('2. Revenue'!C5+'2. Revenue'!C6+'2. Revenue'!C7+'2. Revenue'!C11+'2. Revenue'!C9)*'1. Drivers (base)'!C31</f>
        <v>12483000</v>
      </c>
      <c r="D6" s="18" t="n">
        <f aca="false">('2. Revenue'!D5+'2. Revenue'!D6+'2. Revenue'!D7+'2. Revenue'!D11+'2. Revenue'!D9)*'1. Drivers (base)'!D31</f>
        <v>55854000</v>
      </c>
      <c r="E6" s="18" t="n">
        <f aca="false">('2. Revenue'!E5+'2. Revenue'!E6+'2. Revenue'!E7+'2. Revenue'!E11+'2. Revenue'!E9)*'1. Drivers (base)'!E31</f>
        <v>160600000</v>
      </c>
      <c r="F6" s="18" t="n">
        <f aca="false">('2. Revenue'!F5+'2. Revenue'!F6+'2. Revenue'!F7+'2. Revenue'!F11+'2. Revenue'!F9)*'1. Drivers (base)'!F31</f>
        <v>326876000</v>
      </c>
      <c r="G6" s="18" t="n">
        <f aca="false">('2. Revenue'!G5+'2. Revenue'!G6+'2. Revenue'!G7+'2. Revenue'!G11+'2. Revenue'!G9)*'1. Drivers (base)'!G31</f>
        <v>563042000</v>
      </c>
    </row>
    <row r="7" customFormat="false" ht="15" hidden="false" customHeight="false" outlineLevel="0" collapsed="false">
      <c r="A7" s="4" t="s">
        <v>77</v>
      </c>
      <c r="C7" s="18" t="n">
        <f aca="false">('1. Drivers (base)'!C6+'1. Drivers (base)'!C7+'1. Drivers (base)'!C8+'1. Drivers (base)'!C12+'1. Drivers (base)'!C10)*'0. Scenario &amp; Read me'!$C$15*'1. Drivers (base)'!C28</f>
        <v>800400</v>
      </c>
      <c r="D7" s="18" t="n">
        <f aca="false">('1. Drivers (base)'!D6+'1. Drivers (base)'!D7+'1. Drivers (base)'!D8+'1. Drivers (base)'!D12+'1. Drivers (base)'!D10)*'0. Scenario &amp; Read me'!$C$15*'1. Drivers (base)'!D28</f>
        <v>3676200</v>
      </c>
      <c r="E7" s="18" t="n">
        <f aca="false">('1. Drivers (base)'!E6+'1. Drivers (base)'!E7+'1. Drivers (base)'!E8+'1. Drivers (base)'!E12+'1. Drivers (base)'!E10)*'0. Scenario &amp; Read me'!$C$15*'1. Drivers (base)'!E28</f>
        <v>9960000</v>
      </c>
      <c r="F7" s="18" t="n">
        <f aca="false">('1. Drivers (base)'!F6+'1. Drivers (base)'!F7+'1. Drivers (base)'!F8+'1. Drivers (base)'!F12+'1. Drivers (base)'!F10)*'0. Scenario &amp; Read me'!$C$15*'1. Drivers (base)'!F28</f>
        <v>19123500</v>
      </c>
      <c r="G7" s="18" t="n">
        <f aca="false">('1. Drivers (base)'!G6+'1. Drivers (base)'!G7+'1. Drivers (base)'!G8+'1. Drivers (base)'!G12+'1. Drivers (base)'!G10)*'0. Scenario &amp; Read me'!$C$15*'1. Drivers (base)'!G28</f>
        <v>30474000</v>
      </c>
    </row>
    <row r="8" customFormat="false" ht="15" hidden="false" customHeight="false" outlineLevel="0" collapsed="false">
      <c r="A8" s="19" t="s">
        <v>78</v>
      </c>
      <c r="C8" s="23" t="n">
        <f aca="false">C6+C7</f>
        <v>13283400</v>
      </c>
      <c r="D8" s="23" t="n">
        <f aca="false">D6+D7</f>
        <v>59530200</v>
      </c>
      <c r="E8" s="23" t="n">
        <f aca="false">E6+E7</f>
        <v>170560000</v>
      </c>
      <c r="F8" s="23" t="n">
        <f aca="false">F6+F7</f>
        <v>345999500</v>
      </c>
      <c r="G8" s="23" t="n">
        <f aca="false">G6+G7</f>
        <v>593516000</v>
      </c>
    </row>
    <row r="9" customFormat="false" ht="18.75" hidden="false" customHeight="true" outlineLevel="0" collapsed="false">
      <c r="A9" s="14" t="s">
        <v>79</v>
      </c>
      <c r="B9" s="14"/>
      <c r="C9" s="14"/>
      <c r="D9" s="14"/>
      <c r="E9" s="14"/>
      <c r="F9" s="14"/>
      <c r="G9" s="14"/>
    </row>
    <row r="10" customFormat="false" ht="15" hidden="false" customHeight="false" outlineLevel="0" collapsed="false">
      <c r="A10" s="4" t="s">
        <v>80</v>
      </c>
      <c r="C10" s="18" t="n">
        <f aca="false">'1. Drivers (base)'!C26*'1. Drivers (base)'!C27</f>
        <v>25200000</v>
      </c>
      <c r="D10" s="18" t="n">
        <f aca="false">'1. Drivers (base)'!D26*'1. Drivers (base)'!D27</f>
        <v>58000000</v>
      </c>
      <c r="E10" s="18" t="n">
        <f aca="false">'1. Drivers (base)'!E26*'1. Drivers (base)'!E27</f>
        <v>112500000</v>
      </c>
      <c r="F10" s="18" t="n">
        <f aca="false">'1. Drivers (base)'!F26*'1. Drivers (base)'!F27</f>
        <v>186000000</v>
      </c>
      <c r="G10" s="18" t="n">
        <f aca="false">'1. Drivers (base)'!G26*'1. Drivers (base)'!G27</f>
        <v>272000000</v>
      </c>
    </row>
    <row r="11" customFormat="false" ht="15" hidden="false" customHeight="false" outlineLevel="0" collapsed="false">
      <c r="A11" s="4" t="s">
        <v>81</v>
      </c>
      <c r="C11" s="18" t="n">
        <f aca="false">'2. Revenue'!C15*'1. Drivers (base)'!C29*'0. Scenario &amp; Read me'!$C$17</f>
        <v>15858000</v>
      </c>
      <c r="D11" s="18" t="n">
        <f aca="false">'2. Revenue'!D15*'1. Drivers (base)'!D29*'0. Scenario &amp; Read me'!$C$17</f>
        <v>54936000</v>
      </c>
      <c r="E11" s="18" t="n">
        <f aca="false">'2. Revenue'!E15*'1. Drivers (base)'!E29*'0. Scenario &amp; Read me'!$C$17</f>
        <v>127825600</v>
      </c>
      <c r="F11" s="18" t="n">
        <f aca="false">'2. Revenue'!F15*'1. Drivers (base)'!F29*'0. Scenario &amp; Read me'!$C$17</f>
        <v>225492000</v>
      </c>
      <c r="G11" s="18" t="n">
        <f aca="false">'2. Revenue'!G15*'1. Drivers (base)'!G29*'0. Scenario &amp; Read me'!$C$17</f>
        <v>365640000</v>
      </c>
    </row>
    <row r="12" customFormat="false" ht="15" hidden="false" customHeight="false" outlineLevel="0" collapsed="false">
      <c r="A12" s="4" t="s">
        <v>82</v>
      </c>
      <c r="C12" s="18" t="n">
        <f aca="false">'2. Revenue'!C15*'1. Drivers (base)'!C30*'0. Scenario &amp; Read me'!$C$17</f>
        <v>10572000</v>
      </c>
      <c r="D12" s="18" t="n">
        <f aca="false">'2. Revenue'!D15*'1. Drivers (base)'!D30*'0. Scenario &amp; Read me'!$C$17</f>
        <v>34531200</v>
      </c>
      <c r="E12" s="18" t="n">
        <f aca="false">'2. Revenue'!E15*'1. Drivers (base)'!E30*'0. Scenario &amp; Read me'!$C$17</f>
        <v>82173600</v>
      </c>
      <c r="F12" s="18" t="n">
        <f aca="false">'2. Revenue'!F15*'1. Drivers (base)'!F30*'0. Scenario &amp; Read me'!$C$17</f>
        <v>150328000</v>
      </c>
      <c r="G12" s="18" t="n">
        <f aca="false">'2. Revenue'!G15*'1. Drivers (base)'!G30*'0. Scenario &amp; Read me'!$C$17</f>
        <v>249300000</v>
      </c>
    </row>
    <row r="13" customFormat="false" ht="15" hidden="false" customHeight="false" outlineLevel="0" collapsed="false">
      <c r="A13" s="19" t="s">
        <v>83</v>
      </c>
      <c r="C13" s="23" t="n">
        <f aca="false">C10+C11+C12</f>
        <v>51630000</v>
      </c>
      <c r="D13" s="23" t="n">
        <f aca="false">D10+D11+D12</f>
        <v>147467200</v>
      </c>
      <c r="E13" s="23" t="n">
        <f aca="false">E10+E11+E12</f>
        <v>322499200</v>
      </c>
      <c r="F13" s="23" t="n">
        <f aca="false">F10+F11+F12</f>
        <v>561820000</v>
      </c>
      <c r="G13" s="23" t="n">
        <f aca="false">G10+G11+G12</f>
        <v>886940000</v>
      </c>
    </row>
  </sheetData>
  <mergeCells count="4">
    <mergeCell ref="A1:G1"/>
    <mergeCell ref="A2:G2"/>
    <mergeCell ref="A5:G5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3" style="0" width="15"/>
  </cols>
  <sheetData>
    <row r="1" customFormat="false" ht="27.75" hidden="false" customHeight="true" outlineLevel="0" collapsed="false">
      <c r="A1" s="1" t="s">
        <v>84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85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C4" s="13" t="s">
        <v>24</v>
      </c>
      <c r="D4" s="13" t="s">
        <v>25</v>
      </c>
      <c r="E4" s="13" t="s">
        <v>26</v>
      </c>
      <c r="F4" s="13" t="s">
        <v>27</v>
      </c>
      <c r="G4" s="13" t="s">
        <v>28</v>
      </c>
    </row>
    <row r="5" customFormat="false" ht="15" hidden="false" customHeight="false" outlineLevel="0" collapsed="false">
      <c r="A5" s="19" t="s">
        <v>86</v>
      </c>
      <c r="C5" s="24" t="n">
        <f aca="false">'2. Revenue'!C15</f>
        <v>35240000</v>
      </c>
      <c r="D5" s="24" t="n">
        <f aca="false">'2. Revenue'!D15</f>
        <v>156960000</v>
      </c>
      <c r="E5" s="24" t="n">
        <f aca="false">'2. Revenue'!E15</f>
        <v>456520000</v>
      </c>
      <c r="F5" s="24" t="n">
        <f aca="false">'2. Revenue'!F15</f>
        <v>939550000</v>
      </c>
      <c r="G5" s="24" t="n">
        <f aca="false">'2. Revenue'!G15</f>
        <v>1662000000</v>
      </c>
    </row>
    <row r="6" customFormat="false" ht="15" hidden="false" customHeight="false" outlineLevel="0" collapsed="false">
      <c r="A6" s="4" t="s">
        <v>75</v>
      </c>
      <c r="C6" s="25" t="n">
        <f aca="false">-'3. Costs'!C8</f>
        <v>-13283400</v>
      </c>
      <c r="D6" s="25" t="n">
        <f aca="false">-'3. Costs'!D8</f>
        <v>-59530200</v>
      </c>
      <c r="E6" s="25" t="n">
        <f aca="false">-'3. Costs'!E8</f>
        <v>-170560000</v>
      </c>
      <c r="F6" s="25" t="n">
        <f aca="false">-'3. Costs'!F8</f>
        <v>-345999500</v>
      </c>
      <c r="G6" s="25" t="n">
        <f aca="false">-'3. Costs'!G8</f>
        <v>-593516000</v>
      </c>
    </row>
    <row r="7" customFormat="false" ht="15" hidden="false" customHeight="false" outlineLevel="0" collapsed="false">
      <c r="A7" s="19" t="s">
        <v>87</v>
      </c>
      <c r="C7" s="26" t="n">
        <f aca="false">C5+C6</f>
        <v>21956600</v>
      </c>
      <c r="D7" s="26" t="n">
        <f aca="false">D5+D6</f>
        <v>97429800</v>
      </c>
      <c r="E7" s="26" t="n">
        <f aca="false">E5+E6</f>
        <v>285960000</v>
      </c>
      <c r="F7" s="26" t="n">
        <f aca="false">F5+F6</f>
        <v>593550500</v>
      </c>
      <c r="G7" s="26" t="n">
        <f aca="false">G5+G6</f>
        <v>1068484000</v>
      </c>
    </row>
    <row r="8" customFormat="false" ht="15" hidden="false" customHeight="false" outlineLevel="0" collapsed="false">
      <c r="A8" s="4" t="s">
        <v>88</v>
      </c>
      <c r="C8" s="27" t="n">
        <f aca="false">C7/C5</f>
        <v>0.623059023836549</v>
      </c>
      <c r="D8" s="27" t="n">
        <f aca="false">D7/D5</f>
        <v>0.620730122324159</v>
      </c>
      <c r="E8" s="27" t="n">
        <f aca="false">E7/E5</f>
        <v>0.626390957679839</v>
      </c>
      <c r="F8" s="27" t="n">
        <f aca="false">F7/F5</f>
        <v>0.631739130434783</v>
      </c>
      <c r="G8" s="27" t="n">
        <f aca="false">G7/G5</f>
        <v>0.642890493381468</v>
      </c>
    </row>
    <row r="9" customFormat="false" ht="15" hidden="false" customHeight="false" outlineLevel="0" collapsed="false">
      <c r="A9" s="4" t="s">
        <v>79</v>
      </c>
      <c r="C9" s="25" t="n">
        <f aca="false">-'3. Costs'!C13</f>
        <v>-51630000</v>
      </c>
      <c r="D9" s="25" t="n">
        <f aca="false">-'3. Costs'!D13</f>
        <v>-147467200</v>
      </c>
      <c r="E9" s="25" t="n">
        <f aca="false">-'3. Costs'!E13</f>
        <v>-322499200</v>
      </c>
      <c r="F9" s="25" t="n">
        <f aca="false">-'3. Costs'!F13</f>
        <v>-561820000</v>
      </c>
      <c r="G9" s="25" t="n">
        <f aca="false">-'3. Costs'!G13</f>
        <v>-886940000</v>
      </c>
    </row>
    <row r="10" customFormat="false" ht="15" hidden="false" customHeight="false" outlineLevel="0" collapsed="false">
      <c r="A10" s="19" t="s">
        <v>89</v>
      </c>
      <c r="C10" s="28" t="n">
        <f aca="false">C7+C9</f>
        <v>-29673400</v>
      </c>
      <c r="D10" s="28" t="n">
        <f aca="false">D7+D9</f>
        <v>-50037400</v>
      </c>
      <c r="E10" s="28" t="n">
        <f aca="false">E7+E9</f>
        <v>-36539200</v>
      </c>
      <c r="F10" s="28" t="n">
        <f aca="false">F7+F9</f>
        <v>31730500</v>
      </c>
      <c r="G10" s="28" t="n">
        <f aca="false">G7+G9</f>
        <v>181544000</v>
      </c>
    </row>
    <row r="11" customFormat="false" ht="15" hidden="false" customHeight="false" outlineLevel="0" collapsed="false">
      <c r="A11" s="4" t="s">
        <v>90</v>
      </c>
      <c r="C11" s="27" t="n">
        <f aca="false">C10/C5</f>
        <v>-0.842037457434733</v>
      </c>
      <c r="D11" s="27" t="n">
        <f aca="false">D10/D5</f>
        <v>-0.318790774719674</v>
      </c>
      <c r="E11" s="27" t="n">
        <f aca="false">E10/E5</f>
        <v>-0.0800385525278192</v>
      </c>
      <c r="F11" s="27" t="n">
        <f aca="false">F10/F5</f>
        <v>0.033772018519504</v>
      </c>
      <c r="G11" s="27" t="n">
        <f aca="false">G10/G5</f>
        <v>0.109232250300842</v>
      </c>
    </row>
    <row r="13" customFormat="false" ht="15" hidden="false" customHeight="false" outlineLevel="0" collapsed="false">
      <c r="A13" s="21" t="s">
        <v>91</v>
      </c>
      <c r="C13" s="22" t="n">
        <f aca="false">C10/10000000</f>
        <v>-2.96734</v>
      </c>
      <c r="D13" s="22" t="n">
        <f aca="false">D10/10000000</f>
        <v>-5.00374</v>
      </c>
      <c r="E13" s="22" t="n">
        <f aca="false">E10/10000000</f>
        <v>-3.65392</v>
      </c>
      <c r="F13" s="22" t="n">
        <f aca="false">F10/10000000</f>
        <v>3.17305</v>
      </c>
      <c r="G13" s="22" t="n">
        <f aca="false">G10/10000000</f>
        <v>18.1544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3" style="0" width="15"/>
  </cols>
  <sheetData>
    <row r="1" customFormat="false" ht="27.75" hidden="false" customHeight="true" outlineLevel="0" collapsed="false">
      <c r="A1" s="1" t="s">
        <v>92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93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C4" s="13" t="s">
        <v>24</v>
      </c>
      <c r="D4" s="13" t="s">
        <v>25</v>
      </c>
      <c r="E4" s="13" t="s">
        <v>26</v>
      </c>
      <c r="F4" s="13" t="s">
        <v>27</v>
      </c>
      <c r="G4" s="13" t="s">
        <v>28</v>
      </c>
    </row>
    <row r="5" customFormat="false" ht="15" hidden="false" customHeight="false" outlineLevel="0" collapsed="false">
      <c r="A5" s="19" t="s">
        <v>94</v>
      </c>
      <c r="C5" s="29" t="n">
        <f aca="false">('1. Drivers (base)'!C6+'1. Drivers (base)'!C7+'1. Drivers (base)'!C8+'1. Drivers (base)'!C9+'1. Drivers (base)'!C11+'1. Drivers (base)'!C13+'1. Drivers (base)'!C14)*'0. Scenario &amp; Read me'!$C$15</f>
        <v>6677</v>
      </c>
      <c r="D5" s="29" t="n">
        <f aca="false">('1. Drivers (base)'!D6+'1. Drivers (base)'!D7+'1. Drivers (base)'!D8+'1. Drivers (base)'!D9+'1. Drivers (base)'!D11+'1. Drivers (base)'!D13+'1. Drivers (base)'!D14)*'0. Scenario &amp; Read me'!$C$15</f>
        <v>32628</v>
      </c>
      <c r="E5" s="29" t="n">
        <f aca="false">('1. Drivers (base)'!E6+'1. Drivers (base)'!E7+'1. Drivers (base)'!E8+'1. Drivers (base)'!E9+'1. Drivers (base)'!E11+'1. Drivers (base)'!E13+'1. Drivers (base)'!E14)*'0. Scenario &amp; Read me'!$C$15</f>
        <v>96560</v>
      </c>
      <c r="F5" s="29" t="n">
        <f aca="false">('1. Drivers (base)'!F6+'1. Drivers (base)'!F7+'1. Drivers (base)'!F8+'1. Drivers (base)'!F9+'1. Drivers (base)'!F11+'1. Drivers (base)'!F13+'1. Drivers (base)'!F14)*'0. Scenario &amp; Read me'!$C$15</f>
        <v>193150</v>
      </c>
      <c r="G5" s="29" t="n">
        <f aca="false">('1. Drivers (base)'!G6+'1. Drivers (base)'!G7+'1. Drivers (base)'!G8+'1. Drivers (base)'!G9+'1. Drivers (base)'!G11+'1. Drivers (base)'!G13+'1. Drivers (base)'!G14)*'0. Scenario &amp; Read me'!$C$15</f>
        <v>322320</v>
      </c>
    </row>
    <row r="6" customFormat="false" ht="15" hidden="false" customHeight="false" outlineLevel="0" collapsed="false">
      <c r="A6" s="4" t="s">
        <v>95</v>
      </c>
      <c r="C6" s="18" t="n">
        <f aca="false">'1. Drivers (base)'!C33*'0. Scenario &amp; Read me'!$C$18</f>
        <v>1200</v>
      </c>
      <c r="D6" s="18" t="n">
        <f aca="false">'1. Drivers (base)'!D33*'0. Scenario &amp; Read me'!$C$18</f>
        <v>1100</v>
      </c>
      <c r="E6" s="18" t="n">
        <f aca="false">'1. Drivers (base)'!E33*'0. Scenario &amp; Read me'!$C$18</f>
        <v>1000</v>
      </c>
      <c r="F6" s="18" t="n">
        <f aca="false">'1. Drivers (base)'!F33*'0. Scenario &amp; Read me'!$C$18</f>
        <v>950</v>
      </c>
      <c r="G6" s="18" t="n">
        <f aca="false">'1. Drivers (base)'!G33*'0. Scenario &amp; Read me'!$C$18</f>
        <v>900</v>
      </c>
    </row>
    <row r="7" customFormat="false" ht="15" hidden="false" customHeight="false" outlineLevel="0" collapsed="false">
      <c r="A7" s="4" t="s">
        <v>96</v>
      </c>
      <c r="C7" s="18" t="n">
        <f aca="false">'2. Revenue'!C15/C5</f>
        <v>5277.81937996106</v>
      </c>
      <c r="D7" s="18" t="n">
        <f aca="false">'2. Revenue'!D15/D5</f>
        <v>4810.59212945936</v>
      </c>
      <c r="E7" s="18" t="n">
        <f aca="false">'2. Revenue'!E15/E5</f>
        <v>4727.83761391881</v>
      </c>
      <c r="F7" s="18" t="n">
        <f aca="false">'2. Revenue'!F15/F5</f>
        <v>4864.35412891535</v>
      </c>
      <c r="G7" s="18" t="n">
        <f aca="false">'2. Revenue'!G15/G5</f>
        <v>5156.36634400596</v>
      </c>
    </row>
    <row r="8" customFormat="false" ht="15" hidden="false" customHeight="false" outlineLevel="0" collapsed="false">
      <c r="A8" s="4" t="s">
        <v>97</v>
      </c>
      <c r="C8" s="30" t="n">
        <f aca="false">'1. Drivers (base)'!C35</f>
        <v>0.55</v>
      </c>
      <c r="D8" s="30" t="n">
        <f aca="false">'1. Drivers (base)'!D35</f>
        <v>0.56</v>
      </c>
      <c r="E8" s="30" t="n">
        <f aca="false">'1. Drivers (base)'!E35</f>
        <v>0.58</v>
      </c>
      <c r="F8" s="30" t="n">
        <f aca="false">'1. Drivers (base)'!F35</f>
        <v>0.6</v>
      </c>
      <c r="G8" s="30" t="n">
        <f aca="false">'1. Drivers (base)'!G35</f>
        <v>0.62</v>
      </c>
    </row>
    <row r="9" customFormat="false" ht="15" hidden="false" customHeight="false" outlineLevel="0" collapsed="false">
      <c r="A9" s="4" t="s">
        <v>98</v>
      </c>
      <c r="C9" s="31" t="n">
        <f aca="false">'1. Drivers (base)'!C34</f>
        <v>2</v>
      </c>
      <c r="D9" s="31" t="n">
        <f aca="false">'1. Drivers (base)'!D34</f>
        <v>2.2</v>
      </c>
      <c r="E9" s="31" t="n">
        <f aca="false">'1. Drivers (base)'!E34</f>
        <v>2.5</v>
      </c>
      <c r="F9" s="31" t="n">
        <f aca="false">'1. Drivers (base)'!F34</f>
        <v>2.7</v>
      </c>
      <c r="G9" s="31" t="n">
        <f aca="false">'1. Drivers (base)'!G34</f>
        <v>3</v>
      </c>
    </row>
    <row r="10" customFormat="false" ht="15" hidden="false" customHeight="false" outlineLevel="0" collapsed="false">
      <c r="A10" s="19" t="s">
        <v>99</v>
      </c>
      <c r="C10" s="32" t="n">
        <f aca="false">C7*C8*C9</f>
        <v>5805.60131795717</v>
      </c>
      <c r="D10" s="32" t="n">
        <f aca="false">D7*D8*D9</f>
        <v>5926.64950349393</v>
      </c>
      <c r="E10" s="32" t="n">
        <f aca="false">E7*E8*E9</f>
        <v>6855.36454018227</v>
      </c>
      <c r="F10" s="32" t="n">
        <f aca="false">F7*F8*F9</f>
        <v>7880.25368884287</v>
      </c>
      <c r="G10" s="32" t="n">
        <f aca="false">G7*G8*G9</f>
        <v>9590.84139985108</v>
      </c>
    </row>
    <row r="11" customFormat="false" ht="15" hidden="false" customHeight="false" outlineLevel="0" collapsed="false">
      <c r="A11" s="19" t="s">
        <v>100</v>
      </c>
      <c r="C11" s="33" t="n">
        <f aca="false">C10/C6</f>
        <v>4.83800109829764</v>
      </c>
      <c r="D11" s="33" t="n">
        <f aca="false">D10/D6</f>
        <v>5.38786318499448</v>
      </c>
      <c r="E11" s="33" t="n">
        <f aca="false">E10/E6</f>
        <v>6.85536454018227</v>
      </c>
      <c r="F11" s="33" t="n">
        <f aca="false">F10/F6</f>
        <v>8.2950038829925</v>
      </c>
      <c r="G11" s="33" t="n">
        <f aca="false">G10/G6</f>
        <v>10.656490444279</v>
      </c>
    </row>
    <row r="12" customFormat="false" ht="15" hidden="false" customHeight="false" outlineLevel="0" collapsed="false">
      <c r="A12" s="4" t="s">
        <v>101</v>
      </c>
      <c r="C12" s="34" t="n">
        <f aca="false">C6/((C7*C8)/12)</f>
        <v>4.96072644721907</v>
      </c>
      <c r="D12" s="34" t="n">
        <f aca="false">D6/((D7*D8)/12)</f>
        <v>4.89990170380079</v>
      </c>
      <c r="E12" s="34" t="n">
        <f aca="false">E6/((E7*E8)/12)</f>
        <v>4.37613489759107</v>
      </c>
      <c r="F12" s="34" t="n">
        <f aca="false">F6/((F7*F8)/12)</f>
        <v>3.90596562184024</v>
      </c>
      <c r="G12" s="34" t="n">
        <f aca="false">G6/((G7*G8)/12)</f>
        <v>3.37822289507395</v>
      </c>
    </row>
    <row r="14" customFormat="false" ht="15" hidden="false" customHeight="false" outlineLevel="0" collapsed="false">
      <c r="A14" s="35" t="s">
        <v>102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3" style="0" width="15"/>
  </cols>
  <sheetData>
    <row r="1" customFormat="false" ht="27.75" hidden="false" customHeight="true" outlineLevel="0" collapsed="false">
      <c r="A1" s="1" t="s">
        <v>103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104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C4" s="13" t="s">
        <v>24</v>
      </c>
      <c r="D4" s="13" t="s">
        <v>25</v>
      </c>
      <c r="E4" s="13" t="s">
        <v>26</v>
      </c>
      <c r="F4" s="13" t="s">
        <v>27</v>
      </c>
      <c r="G4" s="13" t="s">
        <v>28</v>
      </c>
    </row>
    <row r="5" customFormat="false" ht="15" hidden="false" customHeight="false" outlineLevel="0" collapsed="false">
      <c r="A5" s="19" t="s">
        <v>91</v>
      </c>
      <c r="C5" s="36" t="n">
        <f aca="false">'4. P&amp;L'!C10/10000000</f>
        <v>-2.96734</v>
      </c>
      <c r="D5" s="36" t="n">
        <f aca="false">'4. P&amp;L'!D10/10000000</f>
        <v>-5.00374</v>
      </c>
      <c r="E5" s="36" t="n">
        <f aca="false">'4. P&amp;L'!E10/10000000</f>
        <v>-3.65392</v>
      </c>
      <c r="F5" s="36" t="n">
        <f aca="false">'4. P&amp;L'!F10/10000000</f>
        <v>3.17305</v>
      </c>
      <c r="G5" s="36" t="n">
        <f aca="false">'4. P&amp;L'!G10/10000000</f>
        <v>18.1544</v>
      </c>
    </row>
    <row r="6" customFormat="false" ht="15" hidden="false" customHeight="false" outlineLevel="0" collapsed="false">
      <c r="A6" s="19" t="s">
        <v>105</v>
      </c>
      <c r="C6" s="37" t="n">
        <f aca="false">C5</f>
        <v>-2.96734</v>
      </c>
      <c r="D6" s="37" t="n">
        <f aca="false">C6+D5</f>
        <v>-7.97108</v>
      </c>
      <c r="E6" s="37" t="n">
        <f aca="false">D6+E5</f>
        <v>-11.625</v>
      </c>
      <c r="F6" s="37" t="n">
        <f aca="false">E6+F5</f>
        <v>-8.45195</v>
      </c>
      <c r="G6" s="37" t="n">
        <f aca="false">F6+G5</f>
        <v>9.70245</v>
      </c>
    </row>
    <row r="8" customFormat="false" ht="15" hidden="false" customHeight="false" outlineLevel="0" collapsed="false">
      <c r="A8" s="38" t="s">
        <v>106</v>
      </c>
      <c r="C8" s="39" t="n">
        <f aca="false">-MIN(C6:G6)</f>
        <v>11.625</v>
      </c>
    </row>
    <row r="9" customFormat="false" ht="15" hidden="false" customHeight="false" outlineLevel="0" collapsed="false">
      <c r="A9" s="40" t="s">
        <v>107</v>
      </c>
      <c r="C9" s="41" t="n">
        <f aca="false">IFERROR(MATCH(TRUE(),INDEX(C5:G5&gt;0,0),0),"beyond Yr5")</f>
        <v>4</v>
      </c>
    </row>
    <row r="11" customFormat="false" ht="15" hidden="false" customHeight="false" outlineLevel="0" collapsed="false">
      <c r="A11" s="35" t="s">
        <v>108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5"/>
  </cols>
  <sheetData>
    <row r="1" customFormat="false" ht="27.75" hidden="false" customHeight="true" outlineLevel="0" collapsed="false">
      <c r="A1" s="1" t="s">
        <v>109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110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8" t="s">
        <v>111</v>
      </c>
      <c r="B4" s="8" t="s">
        <v>112</v>
      </c>
      <c r="C4" s="8" t="s">
        <v>113</v>
      </c>
      <c r="D4" s="8" t="s">
        <v>114</v>
      </c>
      <c r="E4" s="8" t="s">
        <v>115</v>
      </c>
      <c r="F4" s="8" t="s">
        <v>116</v>
      </c>
    </row>
    <row r="5" customFormat="false" ht="15" hidden="false" customHeight="false" outlineLevel="0" collapsed="false">
      <c r="A5" s="4" t="s">
        <v>117</v>
      </c>
      <c r="B5" s="42" t="n">
        <f aca="false">'4. P&amp;L'!G10/10000000-('4. P&amp;L'!G10/10000000)*1.85*0.2</f>
        <v>11.437272</v>
      </c>
      <c r="C5" s="37" t="n">
        <f aca="false">'4. P&amp;L'!G10/10000000</f>
        <v>18.1544</v>
      </c>
      <c r="D5" s="42" t="n">
        <f aca="false">'4. P&amp;L'!G10/10000000+('4. P&amp;L'!G10/10000000)*1.85*0.2</f>
        <v>24.871528</v>
      </c>
      <c r="E5" s="43" t="n">
        <f aca="false">ABS(D5-B5)</f>
        <v>13.434256</v>
      </c>
      <c r="F5" s="44" t="n">
        <f aca="false">RANK(E5,$E$5:$E$10)</f>
        <v>1</v>
      </c>
    </row>
    <row r="6" customFormat="false" ht="15" hidden="false" customHeight="false" outlineLevel="0" collapsed="false">
      <c r="A6" s="4" t="s">
        <v>118</v>
      </c>
      <c r="B6" s="42" t="n">
        <f aca="false">'4. P&amp;L'!G10/10000000-('4. P&amp;L'!G10/10000000)*1.78*0.2</f>
        <v>11.6914336</v>
      </c>
      <c r="C6" s="37" t="n">
        <f aca="false">'4. P&amp;L'!G10/10000000</f>
        <v>18.1544</v>
      </c>
      <c r="D6" s="42" t="n">
        <f aca="false">'4. P&amp;L'!G10/10000000+('4. P&amp;L'!G10/10000000)*1.78*0.2</f>
        <v>24.6173664</v>
      </c>
      <c r="E6" s="43" t="n">
        <f aca="false">ABS(D6-B6)</f>
        <v>12.9259328</v>
      </c>
      <c r="F6" s="44" t="n">
        <f aca="false">RANK(E6,$E$5:$E$10)</f>
        <v>2</v>
      </c>
    </row>
    <row r="7" customFormat="false" ht="15" hidden="false" customHeight="false" outlineLevel="0" collapsed="false">
      <c r="A7" s="4" t="s">
        <v>119</v>
      </c>
      <c r="B7" s="42" t="n">
        <f aca="false">'4. P&amp;L'!G10/10000000+('4. P&amp;L'!G10/10000000)*0.3*0.2</f>
        <v>19.243664</v>
      </c>
      <c r="C7" s="37" t="n">
        <f aca="false">'4. P&amp;L'!G10/10000000</f>
        <v>18.1544</v>
      </c>
      <c r="D7" s="42" t="n">
        <f aca="false">'4. P&amp;L'!G10/10000000-('4. P&amp;L'!G10/10000000)*0.3*0.2</f>
        <v>17.065136</v>
      </c>
      <c r="E7" s="43" t="n">
        <f aca="false">ABS(D7-B7)</f>
        <v>2.178528</v>
      </c>
      <c r="F7" s="44" t="n">
        <f aca="false">RANK(E7,$E$5:$E$10)</f>
        <v>4</v>
      </c>
    </row>
    <row r="8" customFormat="false" ht="15" hidden="false" customHeight="false" outlineLevel="0" collapsed="false">
      <c r="A8" s="4" t="s">
        <v>120</v>
      </c>
      <c r="B8" s="42" t="n">
        <f aca="false">'4. P&amp;L'!G10/10000000+('4. P&amp;L'!G10/10000000)*0.22*0.2</f>
        <v>18.9531936</v>
      </c>
      <c r="C8" s="37" t="n">
        <f aca="false">'4. P&amp;L'!G10/10000000</f>
        <v>18.1544</v>
      </c>
      <c r="D8" s="42" t="n">
        <f aca="false">'4. P&amp;L'!G10/10000000-('4. P&amp;L'!G10/10000000)*0.22*0.2</f>
        <v>17.3556064</v>
      </c>
      <c r="E8" s="43" t="n">
        <f aca="false">ABS(D8-B8)</f>
        <v>1.5975872</v>
      </c>
      <c r="F8" s="44" t="n">
        <f aca="false">RANK(E8,$E$5:$E$10)</f>
        <v>5</v>
      </c>
    </row>
    <row r="9" customFormat="false" ht="15" hidden="false" customHeight="false" outlineLevel="0" collapsed="false">
      <c r="A9" s="4" t="s">
        <v>121</v>
      </c>
      <c r="B9" s="42" t="n">
        <f aca="false">'4. P&amp;L'!G10/10000000+('4. P&amp;L'!G10/10000000)*0.35*0.2</f>
        <v>19.425208</v>
      </c>
      <c r="C9" s="37" t="n">
        <f aca="false">'4. P&amp;L'!G10/10000000</f>
        <v>18.1544</v>
      </c>
      <c r="D9" s="42" t="n">
        <f aca="false">'4. P&amp;L'!G10/10000000-('4. P&amp;L'!G10/10000000)*0.35*0.2</f>
        <v>16.883592</v>
      </c>
      <c r="E9" s="43" t="n">
        <f aca="false">ABS(D9-B9)</f>
        <v>2.541616</v>
      </c>
      <c r="F9" s="44" t="n">
        <f aca="false">RANK(E9,$E$5:$E$10)</f>
        <v>3</v>
      </c>
    </row>
    <row r="10" customFormat="false" ht="15" hidden="false" customHeight="false" outlineLevel="0" collapsed="false">
      <c r="A10" s="4" t="s">
        <v>122</v>
      </c>
      <c r="B10" s="42" t="n">
        <f aca="false">'4. P&amp;L'!G10/10000000+('4. P&amp;L'!G10/10000000)*0.06*0.2</f>
        <v>18.3722528</v>
      </c>
      <c r="C10" s="37" t="n">
        <f aca="false">'4. P&amp;L'!G10/10000000</f>
        <v>18.1544</v>
      </c>
      <c r="D10" s="42" t="n">
        <f aca="false">'4. P&amp;L'!G10/10000000-('4. P&amp;L'!G10/10000000)*0.06*0.2</f>
        <v>17.9365472</v>
      </c>
      <c r="E10" s="43" t="n">
        <f aca="false">ABS(D10-B10)</f>
        <v>0.435705599999999</v>
      </c>
      <c r="F10" s="44" t="n">
        <f aca="false">RANK(E10,$E$5:$E$10)</f>
        <v>6</v>
      </c>
    </row>
    <row r="12" customFormat="false" ht="25.5" hidden="false" customHeight="true" outlineLevel="0" collapsed="false">
      <c r="A12" s="45" t="s">
        <v>123</v>
      </c>
      <c r="B12" s="45"/>
      <c r="C12" s="45"/>
      <c r="D12" s="45"/>
      <c r="E12" s="45"/>
      <c r="F12" s="45"/>
    </row>
  </sheetData>
  <mergeCells count="3">
    <mergeCell ref="A1:F1"/>
    <mergeCell ref="A2:F2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6"/>
  </cols>
  <sheetData>
    <row r="1" customFormat="false" ht="27.75" hidden="false" customHeight="true" outlineLevel="0" collapsed="false">
      <c r="A1" s="1" t="s">
        <v>124</v>
      </c>
      <c r="B1" s="1"/>
      <c r="C1" s="1"/>
      <c r="D1" s="1"/>
    </row>
    <row r="2" customFormat="false" ht="15.75" hidden="false" customHeight="true" outlineLevel="0" collapsed="false">
      <c r="A2" s="2" t="s">
        <v>125</v>
      </c>
      <c r="B2" s="2"/>
      <c r="C2" s="2"/>
      <c r="D2" s="2"/>
    </row>
    <row r="4" customFormat="false" ht="15" hidden="false" customHeight="false" outlineLevel="0" collapsed="false">
      <c r="A4" s="8" t="s">
        <v>126</v>
      </c>
      <c r="B4" s="8" t="s">
        <v>127</v>
      </c>
      <c r="C4" s="8" t="s">
        <v>128</v>
      </c>
      <c r="D4" s="8" t="s">
        <v>129</v>
      </c>
    </row>
    <row r="5" customFormat="false" ht="20.85" hidden="false" customHeight="false" outlineLevel="0" collapsed="false">
      <c r="A5" s="46" t="s">
        <v>130</v>
      </c>
      <c r="B5" s="47" t="s">
        <v>131</v>
      </c>
      <c r="C5" s="47" t="s">
        <v>132</v>
      </c>
      <c r="D5" s="47" t="s">
        <v>133</v>
      </c>
    </row>
    <row r="6" customFormat="false" ht="20.85" hidden="false" customHeight="false" outlineLevel="0" collapsed="false">
      <c r="A6" s="48" t="s">
        <v>134</v>
      </c>
      <c r="B6" s="49" t="s">
        <v>135</v>
      </c>
      <c r="C6" s="49" t="s">
        <v>136</v>
      </c>
      <c r="D6" s="49" t="s">
        <v>133</v>
      </c>
    </row>
    <row r="7" customFormat="false" ht="15" hidden="false" customHeight="false" outlineLevel="0" collapsed="false">
      <c r="A7" s="46" t="s">
        <v>41</v>
      </c>
      <c r="B7" s="47" t="s">
        <v>137</v>
      </c>
      <c r="C7" s="47" t="s">
        <v>138</v>
      </c>
      <c r="D7" s="47" t="s">
        <v>139</v>
      </c>
    </row>
    <row r="8" customFormat="false" ht="15" hidden="false" customHeight="false" outlineLevel="0" collapsed="false">
      <c r="A8" s="48" t="s">
        <v>119</v>
      </c>
      <c r="B8" s="49" t="s">
        <v>140</v>
      </c>
      <c r="C8" s="49" t="s">
        <v>141</v>
      </c>
      <c r="D8" s="49" t="s">
        <v>142</v>
      </c>
    </row>
    <row r="9" customFormat="false" ht="20.85" hidden="false" customHeight="false" outlineLevel="0" collapsed="false">
      <c r="A9" s="46" t="s">
        <v>120</v>
      </c>
      <c r="B9" s="47" t="s">
        <v>143</v>
      </c>
      <c r="C9" s="47" t="s">
        <v>144</v>
      </c>
      <c r="D9" s="47" t="s">
        <v>145</v>
      </c>
    </row>
    <row r="10" customFormat="false" ht="15" hidden="false" customHeight="false" outlineLevel="0" collapsed="false">
      <c r="A10" s="48" t="s">
        <v>146</v>
      </c>
      <c r="B10" s="49" t="s">
        <v>147</v>
      </c>
      <c r="C10" s="49" t="s">
        <v>148</v>
      </c>
      <c r="D10" s="49" t="s">
        <v>149</v>
      </c>
    </row>
    <row r="11" customFormat="false" ht="15" hidden="false" customHeight="false" outlineLevel="0" collapsed="false">
      <c r="A11" s="46" t="s">
        <v>50</v>
      </c>
      <c r="B11" s="47" t="s">
        <v>150</v>
      </c>
      <c r="C11" s="47" t="s">
        <v>151</v>
      </c>
      <c r="D11" s="47" t="s">
        <v>152</v>
      </c>
    </row>
    <row r="12" customFormat="false" ht="15" hidden="false" customHeight="false" outlineLevel="0" collapsed="false">
      <c r="A12" s="48" t="s">
        <v>51</v>
      </c>
      <c r="B12" s="49" t="s">
        <v>153</v>
      </c>
      <c r="C12" s="49" t="s">
        <v>154</v>
      </c>
      <c r="D12" s="49" t="s">
        <v>155</v>
      </c>
    </row>
    <row r="13" customFormat="false" ht="15" hidden="false" customHeight="false" outlineLevel="0" collapsed="false">
      <c r="A13" s="46" t="s">
        <v>156</v>
      </c>
      <c r="B13" s="47" t="s">
        <v>157</v>
      </c>
      <c r="C13" s="47" t="s">
        <v>158</v>
      </c>
      <c r="D13" s="47" t="s">
        <v>159</v>
      </c>
    </row>
    <row r="14" customFormat="false" ht="15" hidden="false" customHeight="false" outlineLevel="0" collapsed="false">
      <c r="A14" s="48" t="s">
        <v>160</v>
      </c>
      <c r="B14" s="49" t="s">
        <v>161</v>
      </c>
      <c r="C14" s="49" t="s">
        <v>162</v>
      </c>
      <c r="D14" s="49" t="s">
        <v>133</v>
      </c>
    </row>
    <row r="15" customFormat="false" ht="20.85" hidden="false" customHeight="false" outlineLevel="0" collapsed="false">
      <c r="A15" s="46" t="s">
        <v>163</v>
      </c>
      <c r="B15" s="47" t="s">
        <v>164</v>
      </c>
      <c r="C15" s="47" t="s">
        <v>165</v>
      </c>
      <c r="D15" s="47" t="s">
        <v>133</v>
      </c>
    </row>
    <row r="16" customFormat="false" ht="20.85" hidden="false" customHeight="false" outlineLevel="0" collapsed="false">
      <c r="A16" s="48" t="s">
        <v>166</v>
      </c>
      <c r="B16" s="49" t="s">
        <v>167</v>
      </c>
      <c r="C16" s="49" t="s">
        <v>168</v>
      </c>
      <c r="D16" s="49" t="s">
        <v>133</v>
      </c>
    </row>
    <row r="17" customFormat="false" ht="15" hidden="false" customHeight="false" outlineLevel="0" collapsed="false">
      <c r="A17" s="46" t="s">
        <v>169</v>
      </c>
      <c r="B17" s="47" t="s">
        <v>170</v>
      </c>
      <c r="C17" s="47" t="s">
        <v>171</v>
      </c>
      <c r="D17" s="47" t="s">
        <v>149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2026-06-26T06:42:54Z</dcterms:created>
  <dc:creator>openpyxl</dc:creator>
  <dc:description/>
  <dc:language>en-US</dc:language>
  <cp:lastModifiedBy/>
  <dcterms:modified xsi:type="dcterms:W3CDTF">2026-06-26T06:42:55Z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