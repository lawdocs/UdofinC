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Read me" sheetId="1" state="visible" r:id="rId3"/>
    <sheet name="1. Drivers" sheetId="2" state="visible" r:id="rId4"/>
    <sheet name="2. Revenue" sheetId="3" state="visible" r:id="rId5"/>
    <sheet name="3. Unit Economics" sheetId="4" state="visible" r:id="rId6"/>
    <sheet name="4. Costs &amp; Headcount" sheetId="5" state="visible" r:id="rId7"/>
    <sheet name="5. P&amp;L" sheetId="6" state="visible" r:id="rId8"/>
    <sheet name="6.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A6" authorId="0">
      <text>
        <r>
          <rPr>
            <sz val="10"/>
            <rFont val="Arial"/>
            <family val="2"/>
          </rPr>
          <t xml:space="preserve">Bulk/clause intake from lender partners.</t>
        </r>
      </text>
    </comment>
    <comment ref="A7" authorId="0">
      <text>
        <r>
          <rPr>
            <sz val="10"/>
            <rFont val="Arial"/>
            <family val="2"/>
          </rPr>
          <t xml:space="preserve">Charged to the lender; ramps slightly.</t>
        </r>
      </text>
    </comment>
    <comment ref="A13" authorId="0">
      <text>
        <r>
          <rPr>
            <sz val="10"/>
            <rFont val="Arial"/>
            <family val="2"/>
          </rPr>
          <t xml:space="preserve">Higher value, lower volume.</t>
        </r>
      </text>
    </comment>
    <comment ref="A34" authorId="0">
      <text>
        <r>
          <rPr>
            <sz val="10"/>
            <rFont val="Arial"/>
            <family val="2"/>
          </rPr>
          <t xml:space="preserve">Blended across eng, ops, neutrals-ops, GTM, G&amp;A.</t>
        </r>
      </text>
    </comment>
    <comment ref="A36" authorId="0">
      <text>
        <r>
          <rPr>
            <sz val="10"/>
            <rFont val="Arial"/>
            <family val="2"/>
          </rPr>
          <t xml:space="preserve">KYC, e-sign, video, payments, hosting per case.</t>
        </r>
      </text>
    </comment>
    <comment ref="A39" authorId="0">
      <text>
        <r>
          <rPr>
            <sz val="10"/>
            <rFont val="Arial"/>
            <family val="2"/>
          </rPr>
          <t xml:space="preserve">Share of case fees paid out to neutrals (COGS).</t>
        </r>
      </text>
    </comment>
  </commentList>
</comments>
</file>

<file path=xl/sharedStrings.xml><?xml version="1.0" encoding="utf-8"?>
<sst xmlns="http://schemas.openxmlformats.org/spreadsheetml/2006/main" count="162" uniqueCount="132">
  <si>
    <t xml:space="preserve">EQUATOR RESOLUTION — Financial Model</t>
  </si>
  <si>
    <t xml:space="preserve">Driver-based 5-year plan (INR). Blue cells are inputs you can change; everything else is a live formula.</t>
  </si>
  <si>
    <t xml:space="preserve">How this model works</t>
  </si>
  <si>
    <t xml:space="preserve">•  All assumptions live on the '1. Drivers' tab. Cells in BLUE are inputs — change them and the whole model recalculates.</t>
  </si>
  <si>
    <t xml:space="preserve">•  Black numbers are formulas; green numbers (if any) pull from other tabs. Do not overtype formulas.</t>
  </si>
  <si>
    <t xml:space="preserve">•  Revenue is built bottom-up per line of business on '2. Revenue': case volumes x price, ramping each year.</t>
  </si>
  <si>
    <t xml:space="preserve">•  '3. Unit Economics' shows contribution per case for the flagship NBFC and Commercial pillars.</t>
  </si>
  <si>
    <t xml:space="preserve">•  '4. Costs &amp; Headcount' builds people + infrastructure + S&amp;M + G&amp;A. '5. P&amp;L' rolls everything up.</t>
  </si>
  <si>
    <t xml:space="preserve">•  '6. Summary' shows the headline trajectory and break-even. Figures are INR; ₹1 Cr = ₹10,000,000.</t>
  </si>
  <si>
    <t xml:space="preserve">•  These are planning assumptions, NOT a forecast. Pressure-test the BLUE inputs against your real pipeline and pricing.</t>
  </si>
  <si>
    <t xml:space="preserve">Tabs</t>
  </si>
  <si>
    <t xml:space="preserve">   ▸ 1. Drivers — all assumptions (edit here)</t>
  </si>
  <si>
    <t xml:space="preserve">   ▸ 2. Revenue — per line of business</t>
  </si>
  <si>
    <t xml:space="preserve">   ▸ 3. Unit Economics — per case</t>
  </si>
  <si>
    <t xml:space="preserve">   ▸ 4. Costs &amp; Headcount</t>
  </si>
  <si>
    <t xml:space="preserve">   ▸ 5. P&amp;L — five-year statement</t>
  </si>
  <si>
    <t xml:space="preserve">   ▸ 6. Summary — headline + break-even</t>
  </si>
  <si>
    <t xml:space="preserve">Drivers &amp; Assumptions</t>
  </si>
  <si>
    <t xml:space="preserve">Edit the BLUE cells. Everything else in the model references these.</t>
  </si>
  <si>
    <t xml:space="preserve">₹ unless noted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</si>
  <si>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</si>
  <si>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</si>
  <si>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</si>
  <si>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</si>
  <si>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</si>
  <si>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A. NBFC ↔ Borrower (volume engine)</t>
  </si>
  <si>
    <t xml:space="preserve">New NBFC cases onboarded (#)</t>
  </si>
  <si>
    <t xml:space="preserve">Conciliation fee per case (₹)</t>
  </si>
  <si>
    <t xml:space="preserve">% reaching paid conciliation</t>
  </si>
  <si>
    <t xml:space="preserve">Arbitration fee per escalated case (₹)</t>
  </si>
  <si>
    <t xml:space="preserve">% escalating to arbitration</t>
  </si>
  <si>
    <t xml:space="preserve">B. Commercial / Contractual</t>
  </si>
  <si>
    <t xml:space="preserve">New commercial cases (#)</t>
  </si>
  <si>
    <t xml:space="preserve">Avg fee per commercial case (₹)</t>
  </si>
  <si>
    <t xml:space="preserve">C. Family / Marital</t>
  </si>
  <si>
    <t xml:space="preserve">New family mediation cases (#)</t>
  </si>
  <si>
    <t xml:space="preserve">Avg fee per family case (₹)</t>
  </si>
  <si>
    <t xml:space="preserve">D. Enterprise Grievance &amp; POSH (SaaS)</t>
  </si>
  <si>
    <t xml:space="preserve">Enterprise clients (#)</t>
  </si>
  <si>
    <t xml:space="preserve">Avg annual SaaS per client (₹)</t>
  </si>
  <si>
    <t xml:space="preserve">Escalation cases to EDRS (#)</t>
  </si>
  <si>
    <t xml:space="preserve">Avg escalation fee (₹)</t>
  </si>
  <si>
    <t xml:space="preserve">E. Private Court (SaaS for neutrals)</t>
  </si>
  <si>
    <t xml:space="preserve">Private Court subscribers (#)</t>
  </si>
  <si>
    <t xml:space="preserve">Avg annual subscription (₹)</t>
  </si>
  <si>
    <t xml:space="preserve">Private Court per-case fees — cases (#)</t>
  </si>
  <si>
    <t xml:space="preserve">Per-case fee (₹)</t>
  </si>
  <si>
    <t xml:space="preserve">F. Academy (training)</t>
  </si>
  <si>
    <t xml:space="preserve">Paid learners / certifications (#)</t>
  </si>
  <si>
    <t xml:space="preserve">Avg course/cert fee (₹)</t>
  </si>
  <si>
    <t xml:space="preserve">G. API &amp; White-label</t>
  </si>
  <si>
    <t xml:space="preserve">API / white-label clients (#)</t>
  </si>
  <si>
    <t xml:space="preserve">Avg annual platform fee (₹)</t>
  </si>
  <si>
    <t xml:space="preserve">H. Cost drivers</t>
  </si>
  <si>
    <t xml:space="preserve">Avg fully-loaded salary / head / yr (₹)</t>
  </si>
  <si>
    <t xml:space="preserve">Total headcount (#)</t>
  </si>
  <si>
    <t xml:space="preserve">Cloud + 3rd-party cost per case (₹)</t>
  </si>
  <si>
    <t xml:space="preserve">Sales &amp; Marketing (% of revenue)</t>
  </si>
  <si>
    <t xml:space="preserve">G&amp;A + overheads (% of revenue)</t>
  </si>
  <si>
    <t xml:space="preserve">Neutral payout (% of case-fee revenue)</t>
  </si>
  <si>
    <t xml:space="preserve">Revenue Build — by line of business</t>
  </si>
  <si>
    <t xml:space="preserve">Bottom-up: volumes x price. All cells are formulas referencing the Drivers tab.</t>
  </si>
  <si>
    <t xml:space="preserve">NBFC ↔ Borrower</t>
  </si>
  <si>
    <t xml:space="preserve">Conciliation fees</t>
  </si>
  <si>
    <t xml:space="preserve">Arbitration fees</t>
  </si>
  <si>
    <t xml:space="preserve">NBFC subtotal</t>
  </si>
  <si>
    <t xml:space="preserve">Commercial / Family</t>
  </si>
  <si>
    <t xml:space="preserve">Commercial case fees</t>
  </si>
  <si>
    <t xml:space="preserve">Family mediation fees</t>
  </si>
  <si>
    <t xml:space="preserve">Enterprise Grievance &amp; POSH</t>
  </si>
  <si>
    <t xml:space="preserve">Grievance SaaS (subscriptions)</t>
  </si>
  <si>
    <t xml:space="preserve">POSH/grievance escalation fees</t>
  </si>
  <si>
    <t xml:space="preserve">Private Court (SaaS)</t>
  </si>
  <si>
    <t xml:space="preserve">Private Court subscriptions</t>
  </si>
  <si>
    <t xml:space="preserve">Private Court per-case fees</t>
  </si>
  <si>
    <t xml:space="preserve">Academy &amp; API</t>
  </si>
  <si>
    <t xml:space="preserve">Academy course/cert fees</t>
  </si>
  <si>
    <t xml:space="preserve">API / white-label fees</t>
  </si>
  <si>
    <t xml:space="preserve">TOTAL</t>
  </si>
  <si>
    <t xml:space="preserve">Total revenue (₹)</t>
  </si>
  <si>
    <t xml:space="preserve">Total revenue (₹ Crore)</t>
  </si>
  <si>
    <t xml:space="preserve">YoY growth</t>
  </si>
  <si>
    <t xml:space="preserve">—</t>
  </si>
  <si>
    <t xml:space="preserve">Unit Economics — per case</t>
  </si>
  <si>
    <t xml:space="preserve">Contribution per case for the flagship pillars. Formulas reference Drivers.</t>
  </si>
  <si>
    <t xml:space="preserve">Reference year: Year 3 (steady-state ramp)</t>
  </si>
  <si>
    <t xml:space="preserve">Metric</t>
  </si>
  <si>
    <t xml:space="preserve">NBFC case</t>
  </si>
  <si>
    <t xml:space="preserve">Commercial case</t>
  </si>
  <si>
    <t xml:space="preserve">Avg revenue per case (₹)</t>
  </si>
  <si>
    <t xml:space="preserve">Less: neutral payout</t>
  </si>
  <si>
    <t xml:space="preserve">Less: infra / 3rd-party per case</t>
  </si>
  <si>
    <t xml:space="preserve">Contribution per case (₹)</t>
  </si>
  <si>
    <t xml:space="preserve">Contribution margin</t>
  </si>
  <si>
    <t xml:space="preserve">Notes</t>
  </si>
  <si>
    <t xml:space="preserve">•  NBFC revenue/case blends the paid-conciliation fee and the probability-weighted arbitration fee.</t>
  </si>
  <si>
    <t xml:space="preserve">•  Neutral payout is the share of case fees paid to mediators/arbitrators (COGS).</t>
  </si>
  <si>
    <t xml:space="preserve">•  Excludes S&amp;M and G&amp;A (those are modelled at the company level on the P&amp;L).</t>
  </si>
  <si>
    <t xml:space="preserve">•  Commercial cases carry far higher absolute contribution; NBFC wins on volume.</t>
  </si>
  <si>
    <t xml:space="preserve">Costs &amp; Headcount</t>
  </si>
  <si>
    <t xml:space="preserve">People + infrastructure + S&amp;M + G&amp;A + neutral payout. Formulas reference Drivers and Revenue.</t>
  </si>
  <si>
    <t xml:space="preserve">Cost of service (COGS)</t>
  </si>
  <si>
    <t xml:space="preserve">Neutral payouts</t>
  </si>
  <si>
    <t xml:space="preserve">Infrastructure &amp; 3rd-party (per case)</t>
  </si>
  <si>
    <t xml:space="preserve">Total COGS</t>
  </si>
  <si>
    <t xml:space="preserve">Operating expenses</t>
  </si>
  <si>
    <t xml:space="preserve">People (headcount x loaded salary)</t>
  </si>
  <si>
    <t xml:space="preserve">Sales &amp; Marketing</t>
  </si>
  <si>
    <t xml:space="preserve">G&amp;A &amp; overheads</t>
  </si>
  <si>
    <t xml:space="preserve">Total OpEx</t>
  </si>
  <si>
    <t xml:space="preserve">Memo</t>
  </si>
  <si>
    <t xml:space="preserve">Headcount (#)</t>
  </si>
  <si>
    <t xml:space="preserve">Revenue per head (₹)</t>
  </si>
  <si>
    <t xml:space="preserve">Profit &amp; Loss — five-year</t>
  </si>
  <si>
    <t xml:space="preserve">All formulas. ₹ unless noted. Gross profit = Revenue − COGS; EBITDA = Gross profit − OpEx.</t>
  </si>
  <si>
    <t xml:space="preserve">Revenue</t>
  </si>
  <si>
    <t xml:space="preserve">Gross profit</t>
  </si>
  <si>
    <t xml:space="preserve">Gross margin</t>
  </si>
  <si>
    <t xml:space="preserve">People</t>
  </si>
  <si>
    <t xml:space="preserve">EBITDA</t>
  </si>
  <si>
    <t xml:space="preserve">EBITDA margin</t>
  </si>
  <si>
    <t xml:space="preserve">Revenue (₹ Cr)</t>
  </si>
  <si>
    <t xml:space="preserve">EBITDA (₹ Cr)</t>
  </si>
  <si>
    <t xml:space="preserve">Summary — headline trajectory &amp; break-even</t>
  </si>
  <si>
    <t xml:space="preserve">Pulls from the P&amp;L. The chart visualises revenue vs. EBITDA.</t>
  </si>
  <si>
    <t xml:space="preserve">Cumulative EBITDA (₹ Cr)</t>
  </si>
  <si>
    <t xml:space="preserve">Headline (Year 5)</t>
  </si>
  <si>
    <t xml:space="preserve">Year-5 revenue (₹ Cr)</t>
  </si>
  <si>
    <t xml:space="preserve">Year-5 EBITDA (₹ Cr)</t>
  </si>
  <si>
    <t xml:space="preserve">Year-5 EBITDA margin</t>
  </si>
  <si>
    <t xml:space="preserve">5-yr cumulative EBITDA (₹ Cr)</t>
  </si>
  <si>
    <t xml:space="preserve">Break-even: the first year EBITDA turns positive (see EBITDA row / chart). Adjust BLUE drivers to test scenarios.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</si>
</sst>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#,##0.00"/>
    <numFmt numFmtId="168" formatCode="#,##0.00;\(#,##0.00\)"/>
    <numFmt numFmtId="169" formatCode="#,##0.0"/>
    <numFmt numFmtId="170" formatCode="#,##0.0;\(#,##0.0\)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2"/>
      <color rgb="FF0B2A4A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1"/>
      <color rgb="FF0B2A4A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Arial"/>
      <family val="2"/>
    </font>
    <font>
      <b val="true"/>
      <sz val="10"/>
      <color rgb="FF1F2937"/>
      <name val="Calibri"/>
      <family val="0"/>
      <charset val="1"/>
    </font>
    <font>
      <b val="true"/>
      <sz val="10"/>
      <color rgb="FF0E7C7B"/>
      <name val="Calibri"/>
      <family val="0"/>
      <charset val="1"/>
    </font>
    <font>
      <b val="true"/>
      <sz val="11"/>
      <color rgb="FF0E7C7B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B2A4A"/>
      <name val="Calibri"/>
      <family val="0"/>
      <charset val="1"/>
    </font>
    <font>
      <sz val="9.5"/>
      <color rgb="FF1F2937"/>
      <name val="Calibri"/>
      <family val="0"/>
      <charset val="1"/>
    </font>
    <font>
      <b val="true"/>
      <sz val="10.5"/>
      <color rgb="FF1F2937"/>
      <name val="Calibri"/>
      <family val="0"/>
      <charset val="1"/>
    </font>
    <font>
      <sz val="10.5"/>
      <color rgb="FF1F2937"/>
      <name val="Calibri"/>
      <family val="0"/>
      <charset val="1"/>
    </font>
    <font>
      <sz val="10.5"/>
      <color rgb="FF6B7280"/>
      <name val="Calibri"/>
      <family val="0"/>
      <charset val="1"/>
    </font>
    <font>
      <b val="true"/>
      <sz val="10.5"/>
      <color rgb="FF0B2A4A"/>
      <name val="Calibri"/>
      <family val="0"/>
      <charset val="1"/>
    </font>
    <font>
      <b val="true"/>
      <sz val="14"/>
      <color rgb="FF0E7C7B"/>
      <name val="Calibri"/>
      <family val="0"/>
      <charset val="1"/>
    </font>
    <font>
      <i val="true"/>
      <sz val="9.5"/>
      <color rgb="FF6B728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2A4A"/>
        <bgColor rgb="FF1F2937"/>
      </patternFill>
    </fill>
    <fill>
      <patternFill patternType="solid">
        <fgColor rgb="FF0E7C7B"/>
        <bgColor rgb="FF008080"/>
      </patternFill>
    </fill>
    <fill>
      <patternFill patternType="solid">
        <fgColor rgb="FFEAF2F8"/>
        <bgColor rgb="FFE3F1F0"/>
      </patternFill>
    </fill>
    <fill>
      <patternFill patternType="solid">
        <fgColor rgb="FFE3F1F0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78787"/>
      <rgbColor rgb="FF9999FF"/>
      <rgbColor rgb="FF993366"/>
      <rgbColor rgb="FFF9F9F9"/>
      <rgbColor rgb="FFE3F1F0"/>
      <rgbColor rgb="FF660066"/>
      <rgbColor rgb="FFFF8080"/>
      <rgbColor rgb="FF0066CC"/>
      <rgbColor rgb="FFD5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vs EBITDA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 (₹ Cr)"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0E7C7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'6. Summary'!$C$4:$G$4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'6. Summary'!$C$5:$G$5</c:f>
              <c:numCache>
                <c:formatCode>#,##0.00</c:formatCode>
                <c:ptCount val="5"/>
                <c:pt idx="0">
                  <c:v>3.569</c:v>
                </c:pt>
                <c:pt idx="1">
                  <c:v>15.771</c:v>
                </c:pt>
                <c:pt idx="2">
                  <c:v>46.192</c:v>
                </c:pt>
                <c:pt idx="3">
                  <c:v>92.695</c:v>
                </c:pt>
                <c:pt idx="4">
                  <c:v>164.85</c:v>
                </c:pt>
              </c:numCache>
            </c:numRef>
          </c:val>
        </c:ser>
        <c:ser>
          <c:idx val="1"/>
          <c:order val="1"/>
          <c:tx>
            <c:strRef>
              <c:f>"EBITDA (₹ Cr)"</c:f>
              <c:strCache>
                <c:ptCount val="1"/>
                <c:pt idx="0">
                  <c:v>EBITDA (₹ Cr)</c:v>
                </c:pt>
              </c:strCache>
            </c:strRef>
          </c:tx>
          <c:spPr>
            <a:solidFill>
              <a:srgbClr val="0B2A4A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'6. Summary'!$C$4:$G$4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'6. Summary'!$C$6:$G$6</c:f>
              <c:numCache>
                <c:formatCode>#,##0.00;\(#,##0.00\)</c:formatCode>
                <c:ptCount val="5"/>
                <c:pt idx="0">
                  <c:v>-2.97634</c:v>
                </c:pt>
                <c:pt idx="1">
                  <c:v>-5.00524</c:v>
                </c:pt>
                <c:pt idx="2">
                  <c:v>-3.59992</c:v>
                </c:pt>
                <c:pt idx="3">
                  <c:v>2.97145</c:v>
                </c:pt>
                <c:pt idx="4">
                  <c:v>17.8844</c:v>
                </c:pt>
              </c:numCache>
            </c:numRef>
          </c:val>
        </c:ser>
        <c:gapWidth val="150"/>
        <c:overlap val="0"/>
        <c:axId val="62540263"/>
        <c:axId val="39610310"/>
      </c:barChart>
      <c:catAx>
        <c:axId val="62540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10310"/>
        <c:crosses val="autoZero"/>
        <c:auto val="1"/>
        <c:lblAlgn val="ctr"/>
        <c:lblOffset val="100"/>
        <c:noMultiLvlLbl val="0"/>
      </c:catAx>
      <c:valAx>
        <c:axId val="39610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5402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6</xdr:col>
      <xdr:colOff>244440</xdr:colOff>
      <xdr:row>33</xdr:row>
      <xdr:rowOff>11520</xdr:rowOff>
    </xdr:to>
    <xdr:graphicFrame>
      <xdr:nvGraphicFramePr>
        <xdr:cNvPr id="1" name="Chart 1"/>
        <xdr:cNvGraphicFramePr/>
      </xdr:nvGraphicFramePr>
      <xdr:xfrm>
        <a:off x="0" y="358632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27.75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27.75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6" t="s">
        <v>11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6" t="s">
        <v>12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6" t="s">
        <v>13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6" t="s">
        <v>14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6" t="s">
        <v>15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6" t="s">
        <v>16</v>
      </c>
      <c r="B19" s="6"/>
      <c r="C19" s="6"/>
      <c r="D19" s="6"/>
      <c r="E19" s="6"/>
      <c r="F19" s="6"/>
    </row>
  </sheetData>
  <mergeCells count="16">
    <mergeCell ref="A1:F1"/>
    <mergeCell ref="A2:F2"/>
    <mergeCell ref="A5:F5"/>
    <mergeCell ref="A6:F6"/>
    <mergeCell ref="A7:F7"/>
    <mergeCell ref="A8:F8"/>
    <mergeCell ref="A9:F9"/>
    <mergeCell ref="A10:F10"/>
    <mergeCell ref="A11:F11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7" min="3" style="0" width="13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</row>
    <row r="5" customFormat="false" ht="18.75" hidden="false" customHeight="true" outlineLevel="0" collapsed="false">
      <c r="A5" s="9" t="s">
        <v>25</v>
      </c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10" t="s">
        <v>26</v>
      </c>
      <c r="C6" s="11" t="n">
        <v>6000</v>
      </c>
      <c r="D6" s="11" t="n">
        <v>30000</v>
      </c>
      <c r="E6" s="11" t="n">
        <v>90000</v>
      </c>
      <c r="F6" s="11" t="n">
        <v>180000</v>
      </c>
      <c r="G6" s="11" t="n">
        <v>300000</v>
      </c>
    </row>
    <row r="7" customFormat="false" ht="15" hidden="false" customHeight="false" outlineLevel="0" collapsed="false">
      <c r="A7" s="10" t="s">
        <v>27</v>
      </c>
      <c r="C7" s="11" t="n">
        <v>1500</v>
      </c>
      <c r="D7" s="11" t="n">
        <v>1500</v>
      </c>
      <c r="E7" s="11" t="n">
        <v>1600</v>
      </c>
      <c r="F7" s="11" t="n">
        <v>1600</v>
      </c>
      <c r="G7" s="11" t="n">
        <v>1700</v>
      </c>
    </row>
    <row r="8" customFormat="false" ht="15" hidden="false" customHeight="false" outlineLevel="0" collapsed="false">
      <c r="A8" s="10" t="s">
        <v>28</v>
      </c>
      <c r="C8" s="12" t="n">
        <v>0.85</v>
      </c>
      <c r="D8" s="12" t="n">
        <v>0.85</v>
      </c>
      <c r="E8" s="12" t="n">
        <v>0.85</v>
      </c>
      <c r="F8" s="12" t="n">
        <v>0.85</v>
      </c>
      <c r="G8" s="12" t="n">
        <v>0.85</v>
      </c>
    </row>
    <row r="9" customFormat="false" ht="15" hidden="false" customHeight="false" outlineLevel="0" collapsed="false">
      <c r="A9" s="10" t="s">
        <v>29</v>
      </c>
      <c r="C9" s="11" t="n">
        <v>6000</v>
      </c>
      <c r="D9" s="11" t="n">
        <v>6000</v>
      </c>
      <c r="E9" s="11" t="n">
        <v>6500</v>
      </c>
      <c r="F9" s="11" t="n">
        <v>6500</v>
      </c>
      <c r="G9" s="11" t="n">
        <v>7000</v>
      </c>
    </row>
    <row r="10" customFormat="false" ht="15" hidden="false" customHeight="false" outlineLevel="0" collapsed="false">
      <c r="A10" s="10" t="s">
        <v>30</v>
      </c>
      <c r="C10" s="12" t="n">
        <v>0.2</v>
      </c>
      <c r="D10" s="12" t="n">
        <v>0.2</v>
      </c>
      <c r="E10" s="12" t="n">
        <v>0.2</v>
      </c>
      <c r="F10" s="12" t="n">
        <v>0.18</v>
      </c>
      <c r="G10" s="12" t="n">
        <v>0.18</v>
      </c>
    </row>
    <row r="11" customFormat="false" ht="18.75" hidden="false" customHeight="true" outlineLevel="0" collapsed="false">
      <c r="A11" s="9" t="s">
        <v>31</v>
      </c>
      <c r="B11" s="9"/>
      <c r="C11" s="9"/>
      <c r="D11" s="9"/>
      <c r="E11" s="9"/>
      <c r="F11" s="9"/>
      <c r="G11" s="9"/>
    </row>
    <row r="12" customFormat="false" ht="15" hidden="false" customHeight="false" outlineLevel="0" collapsed="false">
      <c r="A12" s="10" t="s">
        <v>32</v>
      </c>
      <c r="C12" s="11" t="n">
        <v>150</v>
      </c>
      <c r="D12" s="11" t="n">
        <v>500</v>
      </c>
      <c r="E12" s="11" t="n">
        <v>1200</v>
      </c>
      <c r="F12" s="11" t="n">
        <v>2400</v>
      </c>
      <c r="G12" s="11" t="n">
        <v>4000</v>
      </c>
    </row>
    <row r="13" customFormat="false" ht="15" hidden="false" customHeight="false" outlineLevel="0" collapsed="false">
      <c r="A13" s="10" t="s">
        <v>33</v>
      </c>
      <c r="C13" s="11" t="n">
        <v>60000</v>
      </c>
      <c r="D13" s="11" t="n">
        <v>62000</v>
      </c>
      <c r="E13" s="11" t="n">
        <v>64000</v>
      </c>
      <c r="F13" s="11" t="n">
        <v>66000</v>
      </c>
      <c r="G13" s="11" t="n">
        <v>68000</v>
      </c>
    </row>
    <row r="14" customFormat="false" ht="18.75" hidden="false" customHeight="true" outlineLevel="0" collapsed="false">
      <c r="A14" s="9" t="s">
        <v>34</v>
      </c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10" t="s">
        <v>35</v>
      </c>
      <c r="C15" s="11" t="n">
        <v>200</v>
      </c>
      <c r="D15" s="11" t="n">
        <v>800</v>
      </c>
      <c r="E15" s="11" t="n">
        <v>2000</v>
      </c>
      <c r="F15" s="11" t="n">
        <v>4000</v>
      </c>
      <c r="G15" s="11" t="n">
        <v>7000</v>
      </c>
    </row>
    <row r="16" customFormat="false" ht="15" hidden="false" customHeight="false" outlineLevel="0" collapsed="false">
      <c r="A16" s="10" t="s">
        <v>36</v>
      </c>
      <c r="C16" s="11" t="n">
        <v>18000</v>
      </c>
      <c r="D16" s="11" t="n">
        <v>18500</v>
      </c>
      <c r="E16" s="11" t="n">
        <v>19000</v>
      </c>
      <c r="F16" s="11" t="n">
        <v>19500</v>
      </c>
      <c r="G16" s="11" t="n">
        <v>20000</v>
      </c>
    </row>
    <row r="17" customFormat="false" ht="18.75" hidden="false" customHeight="true" outlineLevel="0" collapsed="false">
      <c r="A17" s="9" t="s">
        <v>37</v>
      </c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10" t="s">
        <v>38</v>
      </c>
      <c r="C18" s="11" t="n">
        <v>10</v>
      </c>
      <c r="D18" s="11" t="n">
        <v>40</v>
      </c>
      <c r="E18" s="11" t="n">
        <v>120</v>
      </c>
      <c r="F18" s="11" t="n">
        <v>260</v>
      </c>
      <c r="G18" s="11" t="n">
        <v>450</v>
      </c>
    </row>
    <row r="19" customFormat="false" ht="15" hidden="false" customHeight="false" outlineLevel="0" collapsed="false">
      <c r="A19" s="10" t="s">
        <v>39</v>
      </c>
      <c r="C19" s="11" t="n">
        <v>180000</v>
      </c>
      <c r="D19" s="11" t="n">
        <v>190000</v>
      </c>
      <c r="E19" s="11" t="n">
        <v>200000</v>
      </c>
      <c r="F19" s="11" t="n">
        <v>210000</v>
      </c>
      <c r="G19" s="11" t="n">
        <v>220000</v>
      </c>
    </row>
    <row r="20" customFormat="false" ht="15" hidden="false" customHeight="false" outlineLevel="0" collapsed="false">
      <c r="A20" s="10" t="s">
        <v>40</v>
      </c>
      <c r="C20" s="11" t="n">
        <v>20</v>
      </c>
      <c r="D20" s="11" t="n">
        <v>120</v>
      </c>
      <c r="E20" s="11" t="n">
        <v>400</v>
      </c>
      <c r="F20" s="11" t="n">
        <v>900</v>
      </c>
      <c r="G20" s="11" t="n">
        <v>1600</v>
      </c>
    </row>
    <row r="21" customFormat="false" ht="15" hidden="false" customHeight="false" outlineLevel="0" collapsed="false">
      <c r="A21" s="10" t="s">
        <v>41</v>
      </c>
      <c r="C21" s="11" t="n">
        <v>25000</v>
      </c>
      <c r="D21" s="11" t="n">
        <v>26000</v>
      </c>
      <c r="E21" s="11" t="n">
        <v>27000</v>
      </c>
      <c r="F21" s="11" t="n">
        <v>28000</v>
      </c>
      <c r="G21" s="11" t="n">
        <v>29000</v>
      </c>
    </row>
    <row r="22" customFormat="false" ht="18.75" hidden="false" customHeight="true" outlineLevel="0" collapsed="false">
      <c r="A22" s="9" t="s">
        <v>42</v>
      </c>
      <c r="B22" s="9"/>
      <c r="C22" s="9"/>
      <c r="D22" s="9"/>
      <c r="E22" s="9"/>
      <c r="F22" s="9"/>
      <c r="G22" s="9"/>
    </row>
    <row r="23" customFormat="false" ht="15" hidden="false" customHeight="false" outlineLevel="0" collapsed="false">
      <c r="A23" s="10" t="s">
        <v>43</v>
      </c>
      <c r="C23" s="11" t="n">
        <v>15</v>
      </c>
      <c r="D23" s="11" t="n">
        <v>80</v>
      </c>
      <c r="E23" s="11" t="n">
        <v>220</v>
      </c>
      <c r="F23" s="11" t="n">
        <v>450</v>
      </c>
      <c r="G23" s="11" t="n">
        <v>800</v>
      </c>
    </row>
    <row r="24" customFormat="false" ht="15" hidden="false" customHeight="false" outlineLevel="0" collapsed="false">
      <c r="A24" s="10" t="s">
        <v>44</v>
      </c>
      <c r="C24" s="11" t="n">
        <v>60000</v>
      </c>
      <c r="D24" s="11" t="n">
        <v>63000</v>
      </c>
      <c r="E24" s="11" t="n">
        <v>66000</v>
      </c>
      <c r="F24" s="11" t="n">
        <v>69000</v>
      </c>
      <c r="G24" s="11" t="n">
        <v>72000</v>
      </c>
    </row>
    <row r="25" customFormat="false" ht="15" hidden="false" customHeight="false" outlineLevel="0" collapsed="false">
      <c r="A25" s="10" t="s">
        <v>45</v>
      </c>
      <c r="C25" s="11" t="n">
        <v>300</v>
      </c>
      <c r="D25" s="11" t="n">
        <v>2000</v>
      </c>
      <c r="E25" s="11" t="n">
        <v>6000</v>
      </c>
      <c r="F25" s="11" t="n">
        <v>14000</v>
      </c>
      <c r="G25" s="11" t="n">
        <v>26000</v>
      </c>
    </row>
    <row r="26" customFormat="false" ht="15" hidden="false" customHeight="false" outlineLevel="0" collapsed="false">
      <c r="A26" s="10" t="s">
        <v>46</v>
      </c>
      <c r="C26" s="11" t="n">
        <v>800</v>
      </c>
      <c r="D26" s="11" t="n">
        <v>850</v>
      </c>
      <c r="E26" s="11" t="n">
        <v>900</v>
      </c>
      <c r="F26" s="11" t="n">
        <v>950</v>
      </c>
      <c r="G26" s="11" t="n">
        <v>1000</v>
      </c>
    </row>
    <row r="27" customFormat="false" ht="18.75" hidden="false" customHeight="true" outlineLevel="0" collapsed="false">
      <c r="A27" s="9" t="s">
        <v>47</v>
      </c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A28" s="10" t="s">
        <v>48</v>
      </c>
      <c r="C28" s="11" t="n">
        <v>300</v>
      </c>
      <c r="D28" s="11" t="n">
        <v>1200</v>
      </c>
      <c r="E28" s="11" t="n">
        <v>3000</v>
      </c>
      <c r="F28" s="11" t="n">
        <v>6000</v>
      </c>
      <c r="G28" s="11" t="n">
        <v>10000</v>
      </c>
    </row>
    <row r="29" customFormat="false" ht="15" hidden="false" customHeight="false" outlineLevel="0" collapsed="false">
      <c r="A29" s="10" t="s">
        <v>49</v>
      </c>
      <c r="C29" s="11" t="n">
        <v>12000</v>
      </c>
      <c r="D29" s="11" t="n">
        <v>12500</v>
      </c>
      <c r="E29" s="11" t="n">
        <v>13000</v>
      </c>
      <c r="F29" s="11" t="n">
        <v>13500</v>
      </c>
      <c r="G29" s="11" t="n">
        <v>14000</v>
      </c>
    </row>
    <row r="30" customFormat="false" ht="18.75" hidden="false" customHeight="true" outlineLevel="0" collapsed="false">
      <c r="A30" s="9" t="s">
        <v>50</v>
      </c>
      <c r="B30" s="9"/>
      <c r="C30" s="9"/>
      <c r="D30" s="9"/>
      <c r="E30" s="9"/>
      <c r="F30" s="9"/>
      <c r="G30" s="9"/>
    </row>
    <row r="31" customFormat="false" ht="15" hidden="false" customHeight="false" outlineLevel="0" collapsed="false">
      <c r="A31" s="10" t="s">
        <v>51</v>
      </c>
      <c r="C31" s="11" t="n">
        <v>2</v>
      </c>
      <c r="D31" s="11" t="n">
        <v>8</v>
      </c>
      <c r="E31" s="11" t="n">
        <v>20</v>
      </c>
      <c r="F31" s="11" t="n">
        <v>40</v>
      </c>
      <c r="G31" s="11" t="n">
        <v>70</v>
      </c>
    </row>
    <row r="32" customFormat="false" ht="15" hidden="false" customHeight="false" outlineLevel="0" collapsed="false">
      <c r="A32" s="10" t="s">
        <v>52</v>
      </c>
      <c r="C32" s="11" t="n">
        <v>600000</v>
      </c>
      <c r="D32" s="11" t="n">
        <v>650000</v>
      </c>
      <c r="E32" s="11" t="n">
        <v>700000</v>
      </c>
      <c r="F32" s="11" t="n">
        <v>750000</v>
      </c>
      <c r="G32" s="11" t="n">
        <v>800000</v>
      </c>
    </row>
    <row r="33" customFormat="false" ht="18.75" hidden="false" customHeight="true" outlineLevel="0" collapsed="false">
      <c r="A33" s="9" t="s">
        <v>53</v>
      </c>
      <c r="B33" s="9"/>
      <c r="C33" s="9"/>
      <c r="D33" s="9"/>
      <c r="E33" s="9"/>
      <c r="F33" s="9"/>
      <c r="G33" s="9"/>
    </row>
    <row r="34" customFormat="false" ht="15" hidden="false" customHeight="false" outlineLevel="0" collapsed="false">
      <c r="A34" s="10" t="s">
        <v>54</v>
      </c>
      <c r="C34" s="11" t="n">
        <v>1400000</v>
      </c>
      <c r="D34" s="11" t="n">
        <v>1450000</v>
      </c>
      <c r="E34" s="11" t="n">
        <v>1500000</v>
      </c>
      <c r="F34" s="11" t="n">
        <v>1550000</v>
      </c>
      <c r="G34" s="11" t="n">
        <v>1600000</v>
      </c>
    </row>
    <row r="35" customFormat="false" ht="15" hidden="false" customHeight="false" outlineLevel="0" collapsed="false">
      <c r="A35" s="10" t="s">
        <v>55</v>
      </c>
      <c r="C35" s="11" t="n">
        <v>18</v>
      </c>
      <c r="D35" s="11" t="n">
        <v>40</v>
      </c>
      <c r="E35" s="11" t="n">
        <v>75</v>
      </c>
      <c r="F35" s="11" t="n">
        <v>120</v>
      </c>
      <c r="G35" s="11" t="n">
        <v>170</v>
      </c>
    </row>
    <row r="36" customFormat="false" ht="15" hidden="false" customHeight="false" outlineLevel="0" collapsed="false">
      <c r="A36" s="10" t="s">
        <v>56</v>
      </c>
      <c r="C36" s="11" t="n">
        <v>120</v>
      </c>
      <c r="D36" s="11" t="n">
        <v>110</v>
      </c>
      <c r="E36" s="11" t="n">
        <v>100</v>
      </c>
      <c r="F36" s="11" t="n">
        <v>95</v>
      </c>
      <c r="G36" s="11" t="n">
        <v>90</v>
      </c>
    </row>
    <row r="37" customFormat="false" ht="15" hidden="false" customHeight="false" outlineLevel="0" collapsed="false">
      <c r="A37" s="10" t="s">
        <v>57</v>
      </c>
      <c r="C37" s="12" t="n">
        <v>0.45</v>
      </c>
      <c r="D37" s="12" t="n">
        <v>0.35</v>
      </c>
      <c r="E37" s="12" t="n">
        <v>0.28</v>
      </c>
      <c r="F37" s="12" t="n">
        <v>0.24</v>
      </c>
      <c r="G37" s="12" t="n">
        <v>0.22</v>
      </c>
    </row>
    <row r="38" customFormat="false" ht="15" hidden="false" customHeight="false" outlineLevel="0" collapsed="false">
      <c r="A38" s="10" t="s">
        <v>58</v>
      </c>
      <c r="C38" s="12" t="n">
        <v>0.3</v>
      </c>
      <c r="D38" s="12" t="n">
        <v>0.22</v>
      </c>
      <c r="E38" s="12" t="n">
        <v>0.18</v>
      </c>
      <c r="F38" s="12" t="n">
        <v>0.16</v>
      </c>
      <c r="G38" s="12" t="n">
        <v>0.15</v>
      </c>
    </row>
    <row r="39" customFormat="false" ht="15" hidden="false" customHeight="false" outlineLevel="0" collapsed="false">
      <c r="A39" s="10" t="s">
        <v>59</v>
      </c>
      <c r="C39" s="12" t="n">
        <v>0.45</v>
      </c>
      <c r="D39" s="12" t="n">
        <v>0.45</v>
      </c>
      <c r="E39" s="12" t="n">
        <v>0.44</v>
      </c>
      <c r="F39" s="12" t="n">
        <v>0.44</v>
      </c>
      <c r="G39" s="12" t="n">
        <v>0.43</v>
      </c>
    </row>
  </sheetData>
  <mergeCells count="10">
    <mergeCell ref="A1:G1"/>
    <mergeCell ref="A2:G2"/>
    <mergeCell ref="A5:G5"/>
    <mergeCell ref="A11:G11"/>
    <mergeCell ref="A14:G14"/>
    <mergeCell ref="A17:G17"/>
    <mergeCell ref="A22:G22"/>
    <mergeCell ref="A27:G27"/>
    <mergeCell ref="A30:G30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</row>
    <row r="5" customFormat="false" ht="18.75" hidden="false" customHeight="true" outlineLevel="0" collapsed="false">
      <c r="A5" s="9" t="s">
        <v>62</v>
      </c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10" t="s">
        <v>63</v>
      </c>
      <c r="C6" s="13" t="n">
        <f aca="false">'1. Drivers'!C6*'1. Drivers'!C8*'1. Drivers'!C7</f>
        <v>7650000</v>
      </c>
      <c r="D6" s="13" t="n">
        <f aca="false">'1. Drivers'!D6*'1. Drivers'!D8*'1. Drivers'!D7</f>
        <v>38250000</v>
      </c>
      <c r="E6" s="13" t="n">
        <f aca="false">'1. Drivers'!E6*'1. Drivers'!E8*'1. Drivers'!E7</f>
        <v>122400000</v>
      </c>
      <c r="F6" s="13" t="n">
        <f aca="false">'1. Drivers'!F6*'1. Drivers'!F8*'1. Drivers'!F7</f>
        <v>244800000</v>
      </c>
      <c r="G6" s="13" t="n">
        <f aca="false">'1. Drivers'!G6*'1. Drivers'!G8*'1. Drivers'!G7</f>
        <v>433500000</v>
      </c>
    </row>
    <row r="7" customFormat="false" ht="15" hidden="false" customHeight="false" outlineLevel="0" collapsed="false">
      <c r="A7" s="10" t="s">
        <v>64</v>
      </c>
      <c r="C7" s="13" t="n">
        <f aca="false">'1. Drivers'!C6*'1. Drivers'!C10*'1. Drivers'!C9</f>
        <v>7200000</v>
      </c>
      <c r="D7" s="13" t="n">
        <f aca="false">'1. Drivers'!D6*'1. Drivers'!D10*'1. Drivers'!D9</f>
        <v>36000000</v>
      </c>
      <c r="E7" s="13" t="n">
        <f aca="false">'1. Drivers'!E6*'1. Drivers'!E10*'1. Drivers'!E9</f>
        <v>117000000</v>
      </c>
      <c r="F7" s="13" t="n">
        <f aca="false">'1. Drivers'!F6*'1. Drivers'!F10*'1. Drivers'!F9</f>
        <v>210600000</v>
      </c>
      <c r="G7" s="13" t="n">
        <f aca="false">'1. Drivers'!G6*'1. Drivers'!G10*'1. Drivers'!G9</f>
        <v>378000000</v>
      </c>
    </row>
    <row r="8" customFormat="false" ht="15" hidden="false" customHeight="false" outlineLevel="0" collapsed="false">
      <c r="A8" s="14" t="s">
        <v>65</v>
      </c>
      <c r="C8" s="15" t="n">
        <f aca="false">C6+C7</f>
        <v>14850000</v>
      </c>
      <c r="D8" s="15" t="n">
        <f aca="false">D6+D7</f>
        <v>74250000</v>
      </c>
      <c r="E8" s="15" t="n">
        <f aca="false">E6+E7</f>
        <v>239400000</v>
      </c>
      <c r="F8" s="15" t="n">
        <f aca="false">F6+F7</f>
        <v>455400000</v>
      </c>
      <c r="G8" s="15" t="n">
        <f aca="false">G6+G7</f>
        <v>811500000</v>
      </c>
    </row>
    <row r="9" customFormat="false" ht="18.75" hidden="false" customHeight="true" outlineLevel="0" collapsed="false">
      <c r="A9" s="9" t="s">
        <v>66</v>
      </c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10" t="s">
        <v>67</v>
      </c>
      <c r="C10" s="13" t="n">
        <f aca="false">'1. Drivers'!C12*'1. Drivers'!C13</f>
        <v>9000000</v>
      </c>
      <c r="D10" s="13" t="n">
        <f aca="false">'1. Drivers'!D12*'1. Drivers'!D13</f>
        <v>31000000</v>
      </c>
      <c r="E10" s="13" t="n">
        <f aca="false">'1. Drivers'!E12*'1. Drivers'!E13</f>
        <v>76800000</v>
      </c>
      <c r="F10" s="13" t="n">
        <f aca="false">'1. Drivers'!F12*'1. Drivers'!F13</f>
        <v>158400000</v>
      </c>
      <c r="G10" s="13" t="n">
        <f aca="false">'1. Drivers'!G12*'1. Drivers'!G13</f>
        <v>272000000</v>
      </c>
    </row>
    <row r="11" customFormat="false" ht="15" hidden="false" customHeight="false" outlineLevel="0" collapsed="false">
      <c r="A11" s="10" t="s">
        <v>68</v>
      </c>
      <c r="C11" s="13" t="n">
        <f aca="false">'1. Drivers'!C15*'1. Drivers'!C16</f>
        <v>3600000</v>
      </c>
      <c r="D11" s="13" t="n">
        <f aca="false">'1. Drivers'!D15*'1. Drivers'!D16</f>
        <v>14800000</v>
      </c>
      <c r="E11" s="13" t="n">
        <f aca="false">'1. Drivers'!E15*'1. Drivers'!E16</f>
        <v>38000000</v>
      </c>
      <c r="F11" s="13" t="n">
        <f aca="false">'1. Drivers'!F15*'1. Drivers'!F16</f>
        <v>78000000</v>
      </c>
      <c r="G11" s="13" t="n">
        <f aca="false">'1. Drivers'!G15*'1. Drivers'!G16</f>
        <v>140000000</v>
      </c>
    </row>
    <row r="12" customFormat="false" ht="18.75" hidden="false" customHeight="true" outlineLevel="0" collapsed="false">
      <c r="A12" s="9" t="s">
        <v>69</v>
      </c>
      <c r="B12" s="9"/>
      <c r="C12" s="9"/>
      <c r="D12" s="9"/>
      <c r="E12" s="9"/>
      <c r="F12" s="9"/>
      <c r="G12" s="9"/>
    </row>
    <row r="13" customFormat="false" ht="15" hidden="false" customHeight="false" outlineLevel="0" collapsed="false">
      <c r="A13" s="10" t="s">
        <v>70</v>
      </c>
      <c r="C13" s="13" t="n">
        <f aca="false">'1. Drivers'!C18*'1. Drivers'!C19</f>
        <v>1800000</v>
      </c>
      <c r="D13" s="13" t="n">
        <f aca="false">'1. Drivers'!D18*'1. Drivers'!D19</f>
        <v>7600000</v>
      </c>
      <c r="E13" s="13" t="n">
        <f aca="false">'1. Drivers'!E18*'1. Drivers'!E19</f>
        <v>24000000</v>
      </c>
      <c r="F13" s="13" t="n">
        <f aca="false">'1. Drivers'!F18*'1. Drivers'!F19</f>
        <v>54600000</v>
      </c>
      <c r="G13" s="13" t="n">
        <f aca="false">'1. Drivers'!G18*'1. Drivers'!G19</f>
        <v>99000000</v>
      </c>
    </row>
    <row r="14" customFormat="false" ht="15" hidden="false" customHeight="false" outlineLevel="0" collapsed="false">
      <c r="A14" s="10" t="s">
        <v>71</v>
      </c>
      <c r="C14" s="13" t="n">
        <f aca="false">'1. Drivers'!C20*'1. Drivers'!C21</f>
        <v>500000</v>
      </c>
      <c r="D14" s="13" t="n">
        <f aca="false">'1. Drivers'!D20*'1. Drivers'!D21</f>
        <v>3120000</v>
      </c>
      <c r="E14" s="13" t="n">
        <f aca="false">'1. Drivers'!E20*'1. Drivers'!E21</f>
        <v>10800000</v>
      </c>
      <c r="F14" s="13" t="n">
        <f aca="false">'1. Drivers'!F20*'1. Drivers'!F21</f>
        <v>25200000</v>
      </c>
      <c r="G14" s="13" t="n">
        <f aca="false">'1. Drivers'!G20*'1. Drivers'!G21</f>
        <v>46400000</v>
      </c>
    </row>
    <row r="15" customFormat="false" ht="18.75" hidden="false" customHeight="true" outlineLevel="0" collapsed="false">
      <c r="A15" s="9" t="s">
        <v>72</v>
      </c>
      <c r="B15" s="9"/>
      <c r="C15" s="9"/>
      <c r="D15" s="9"/>
      <c r="E15" s="9"/>
      <c r="F15" s="9"/>
      <c r="G15" s="9"/>
    </row>
    <row r="16" customFormat="false" ht="15" hidden="false" customHeight="false" outlineLevel="0" collapsed="false">
      <c r="A16" s="10" t="s">
        <v>73</v>
      </c>
      <c r="C16" s="13" t="n">
        <f aca="false">'1. Drivers'!C23*'1. Drivers'!C24</f>
        <v>900000</v>
      </c>
      <c r="D16" s="13" t="n">
        <f aca="false">'1. Drivers'!D23*'1. Drivers'!D24</f>
        <v>5040000</v>
      </c>
      <c r="E16" s="13" t="n">
        <f aca="false">'1. Drivers'!E23*'1. Drivers'!E24</f>
        <v>14520000</v>
      </c>
      <c r="F16" s="13" t="n">
        <f aca="false">'1. Drivers'!F23*'1. Drivers'!F24</f>
        <v>31050000</v>
      </c>
      <c r="G16" s="13" t="n">
        <f aca="false">'1. Drivers'!G23*'1. Drivers'!G24</f>
        <v>57600000</v>
      </c>
    </row>
    <row r="17" customFormat="false" ht="15" hidden="false" customHeight="false" outlineLevel="0" collapsed="false">
      <c r="A17" s="10" t="s">
        <v>74</v>
      </c>
      <c r="C17" s="13" t="n">
        <f aca="false">'1. Drivers'!C25*'1. Drivers'!C26</f>
        <v>240000</v>
      </c>
      <c r="D17" s="13" t="n">
        <f aca="false">'1. Drivers'!D25*'1. Drivers'!D26</f>
        <v>1700000</v>
      </c>
      <c r="E17" s="13" t="n">
        <f aca="false">'1. Drivers'!E25*'1. Drivers'!E26</f>
        <v>5400000</v>
      </c>
      <c r="F17" s="13" t="n">
        <f aca="false">'1. Drivers'!F25*'1. Drivers'!F26</f>
        <v>13300000</v>
      </c>
      <c r="G17" s="13" t="n">
        <f aca="false">'1. Drivers'!G25*'1. Drivers'!G26</f>
        <v>26000000</v>
      </c>
    </row>
    <row r="18" customFormat="false" ht="18.75" hidden="false" customHeight="true" outlineLevel="0" collapsed="false">
      <c r="A18" s="9" t="s">
        <v>75</v>
      </c>
      <c r="B18" s="9"/>
      <c r="C18" s="9"/>
      <c r="D18" s="9"/>
      <c r="E18" s="9"/>
      <c r="F18" s="9"/>
      <c r="G18" s="9"/>
    </row>
    <row r="19" customFormat="false" ht="15" hidden="false" customHeight="false" outlineLevel="0" collapsed="false">
      <c r="A19" s="10" t="s">
        <v>76</v>
      </c>
      <c r="C19" s="13" t="n">
        <f aca="false">'1. Drivers'!C28*'1. Drivers'!C29</f>
        <v>3600000</v>
      </c>
      <c r="D19" s="13" t="n">
        <f aca="false">'1. Drivers'!D28*'1. Drivers'!D29</f>
        <v>15000000</v>
      </c>
      <c r="E19" s="13" t="n">
        <f aca="false">'1. Drivers'!E28*'1. Drivers'!E29</f>
        <v>39000000</v>
      </c>
      <c r="F19" s="13" t="n">
        <f aca="false">'1. Drivers'!F28*'1. Drivers'!F29</f>
        <v>81000000</v>
      </c>
      <c r="G19" s="13" t="n">
        <f aca="false">'1. Drivers'!G28*'1. Drivers'!G29</f>
        <v>140000000</v>
      </c>
    </row>
    <row r="20" customFormat="false" ht="15" hidden="false" customHeight="false" outlineLevel="0" collapsed="false">
      <c r="A20" s="10" t="s">
        <v>77</v>
      </c>
      <c r="C20" s="13" t="n">
        <f aca="false">'1. Drivers'!C31*'1. Drivers'!C32</f>
        <v>1200000</v>
      </c>
      <c r="D20" s="13" t="n">
        <f aca="false">'1. Drivers'!D31*'1. Drivers'!D32</f>
        <v>5200000</v>
      </c>
      <c r="E20" s="13" t="n">
        <f aca="false">'1. Drivers'!E31*'1. Drivers'!E32</f>
        <v>14000000</v>
      </c>
      <c r="F20" s="13" t="n">
        <f aca="false">'1. Drivers'!F31*'1. Drivers'!F32</f>
        <v>30000000</v>
      </c>
      <c r="G20" s="13" t="n">
        <f aca="false">'1. Drivers'!G31*'1. Drivers'!G32</f>
        <v>56000000</v>
      </c>
    </row>
    <row r="21" customFormat="false" ht="18.75" hidden="false" customHeight="true" outlineLevel="0" collapsed="false">
      <c r="A21" s="9" t="s">
        <v>78</v>
      </c>
      <c r="B21" s="9"/>
      <c r="C21" s="9"/>
      <c r="D21" s="9"/>
      <c r="E21" s="9"/>
      <c r="F21" s="9"/>
      <c r="G21" s="9"/>
    </row>
    <row r="22" customFormat="false" ht="15" hidden="false" customHeight="false" outlineLevel="0" collapsed="false">
      <c r="A22" s="14" t="s">
        <v>79</v>
      </c>
      <c r="C22" s="16" t="n">
        <f aca="false">SUM(C8,C10,C11,C13,C14,C16,C17,C19,C20)</f>
        <v>35690000</v>
      </c>
      <c r="D22" s="16" t="n">
        <f aca="false">SUM(D8,D10,D11,D13,D14,D16,D17,D19,D20)</f>
        <v>157710000</v>
      </c>
      <c r="E22" s="16" t="n">
        <f aca="false">SUM(E8,E10,E11,E13,E14,E16,E17,E19,E20)</f>
        <v>461920000</v>
      </c>
      <c r="F22" s="16" t="n">
        <f aca="false">SUM(F8,F10,F11,F13,F14,F16,F17,F19,F20)</f>
        <v>926950000</v>
      </c>
      <c r="G22" s="16" t="n">
        <f aca="false">SUM(G8,G10,G11,G13,G14,G16,G17,G19,G20)</f>
        <v>1648500000</v>
      </c>
    </row>
    <row r="24" customFormat="false" ht="15" hidden="false" customHeight="false" outlineLevel="0" collapsed="false">
      <c r="A24" s="17" t="s">
        <v>80</v>
      </c>
      <c r="C24" s="18" t="n">
        <f aca="false">C22/10000000</f>
        <v>3.569</v>
      </c>
      <c r="D24" s="18" t="n">
        <f aca="false">D22/10000000</f>
        <v>15.771</v>
      </c>
      <c r="E24" s="18" t="n">
        <f aca="false">E22/10000000</f>
        <v>46.192</v>
      </c>
      <c r="F24" s="18" t="n">
        <f aca="false">F22/10000000</f>
        <v>92.695</v>
      </c>
      <c r="G24" s="18" t="n">
        <f aca="false">G22/10000000</f>
        <v>164.85</v>
      </c>
    </row>
    <row r="25" customFormat="false" ht="15" hidden="false" customHeight="false" outlineLevel="0" collapsed="false">
      <c r="A25" s="19" t="s">
        <v>81</v>
      </c>
      <c r="C25" s="20" t="s">
        <v>82</v>
      </c>
      <c r="D25" s="21" t="n">
        <f aca="false">D22/C22-1</f>
        <v>3.41888484169235</v>
      </c>
      <c r="E25" s="21" t="n">
        <f aca="false">E22/D22-1</f>
        <v>1.92892016993215</v>
      </c>
      <c r="F25" s="21" t="n">
        <f aca="false">F22/E22-1</f>
        <v>1.0067327675788</v>
      </c>
      <c r="G25" s="21" t="n">
        <f aca="false">G22/F22-1</f>
        <v>0.778413075138897</v>
      </c>
    </row>
  </sheetData>
  <mergeCells count="8">
    <mergeCell ref="A1:G1"/>
    <mergeCell ref="A2:G2"/>
    <mergeCell ref="A5:G5"/>
    <mergeCell ref="A9:G9"/>
    <mergeCell ref="A12:G12"/>
    <mergeCell ref="A15:G15"/>
    <mergeCell ref="A18:G18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</cols>
  <sheetData>
    <row r="1" customFormat="false" ht="27.75" hidden="false" customHeight="true" outlineLevel="0" collapsed="false">
      <c r="A1" s="1" t="s">
        <v>83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84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2" t="s">
        <v>85</v>
      </c>
    </row>
    <row r="5" customFormat="false" ht="19.5" hidden="false" customHeight="true" outlineLevel="0" collapsed="false">
      <c r="A5" s="23" t="s">
        <v>86</v>
      </c>
      <c r="B5" s="24" t="s">
        <v>87</v>
      </c>
      <c r="C5" s="24" t="s">
        <v>88</v>
      </c>
    </row>
    <row r="6" customFormat="false" ht="15" hidden="false" customHeight="false" outlineLevel="0" collapsed="false">
      <c r="A6" s="14" t="s">
        <v>89</v>
      </c>
      <c r="B6" s="25" t="n">
        <f aca="false">'1. Drivers'!E8*'1. Drivers'!E7+'1. Drivers'!E10*'1. Drivers'!E9</f>
        <v>2660</v>
      </c>
      <c r="C6" s="25" t="n">
        <f aca="false">'1. Drivers'!E13</f>
        <v>64000</v>
      </c>
    </row>
    <row r="7" customFormat="false" ht="15" hidden="false" customHeight="false" outlineLevel="0" collapsed="false">
      <c r="A7" s="10" t="s">
        <v>90</v>
      </c>
      <c r="B7" s="13" t="n">
        <f aca="false">-B6*'1. Drivers'!E39</f>
        <v>-1170.4</v>
      </c>
      <c r="C7" s="13" t="n">
        <f aca="false">-C6*'1. Drivers'!E39</f>
        <v>-28160</v>
      </c>
    </row>
    <row r="8" customFormat="false" ht="15" hidden="false" customHeight="false" outlineLevel="0" collapsed="false">
      <c r="A8" s="10" t="s">
        <v>91</v>
      </c>
      <c r="B8" s="13" t="n">
        <f aca="false">-'1. Drivers'!E36</f>
        <v>-100</v>
      </c>
      <c r="C8" s="13" t="n">
        <f aca="false">-'1. Drivers'!E36</f>
        <v>-100</v>
      </c>
    </row>
    <row r="9" customFormat="false" ht="15" hidden="false" customHeight="false" outlineLevel="0" collapsed="false">
      <c r="A9" s="14" t="s">
        <v>92</v>
      </c>
      <c r="B9" s="26" t="n">
        <f aca="false">B6+B7+B8</f>
        <v>1389.6</v>
      </c>
      <c r="C9" s="26" t="n">
        <f aca="false">C6+C7+C8</f>
        <v>35740</v>
      </c>
    </row>
    <row r="10" customFormat="false" ht="15" hidden="false" customHeight="false" outlineLevel="0" collapsed="false">
      <c r="A10" s="14" t="s">
        <v>93</v>
      </c>
      <c r="B10" s="27" t="n">
        <f aca="false">B9/B6</f>
        <v>0.522406015037594</v>
      </c>
      <c r="C10" s="27" t="n">
        <f aca="false">C9/C6</f>
        <v>0.5584375</v>
      </c>
    </row>
    <row r="12" customFormat="false" ht="15" hidden="false" customHeight="false" outlineLevel="0" collapsed="false">
      <c r="A12" s="28" t="s">
        <v>94</v>
      </c>
    </row>
    <row r="13" customFormat="false" ht="15" hidden="false" customHeight="true" outlineLevel="0" collapsed="false">
      <c r="A13" s="29" t="s">
        <v>95</v>
      </c>
      <c r="B13" s="29"/>
      <c r="C13" s="29"/>
      <c r="D13" s="29"/>
    </row>
    <row r="14" customFormat="false" ht="15" hidden="false" customHeight="true" outlineLevel="0" collapsed="false">
      <c r="A14" s="29" t="s">
        <v>96</v>
      </c>
      <c r="B14" s="29"/>
      <c r="C14" s="29"/>
      <c r="D14" s="29"/>
    </row>
    <row r="15" customFormat="false" ht="15" hidden="false" customHeight="true" outlineLevel="0" collapsed="false">
      <c r="A15" s="29" t="s">
        <v>97</v>
      </c>
      <c r="B15" s="29"/>
      <c r="C15" s="29"/>
      <c r="D15" s="29"/>
    </row>
    <row r="16" customFormat="false" ht="15" hidden="false" customHeight="true" outlineLevel="0" collapsed="false">
      <c r="A16" s="29" t="s">
        <v>98</v>
      </c>
      <c r="B16" s="29"/>
      <c r="C16" s="29"/>
      <c r="D16" s="29"/>
    </row>
  </sheetData>
  <mergeCells count="6">
    <mergeCell ref="A1:F1"/>
    <mergeCell ref="A2:F2"/>
    <mergeCell ref="A13:D1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100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</row>
    <row r="5" customFormat="false" ht="18.75" hidden="false" customHeight="true" outlineLevel="0" collapsed="false">
      <c r="A5" s="9" t="s">
        <v>101</v>
      </c>
      <c r="B5" s="9"/>
      <c r="C5" s="9"/>
      <c r="D5" s="9"/>
      <c r="E5" s="9"/>
      <c r="F5" s="9"/>
      <c r="G5" s="9"/>
    </row>
    <row r="6" customFormat="false" ht="15" hidden="false" customHeight="false" outlineLevel="0" collapsed="false">
      <c r="A6" s="10" t="s">
        <v>102</v>
      </c>
      <c r="C6" s="13" t="n">
        <f aca="false">('2. Revenue'!C8+'2. Revenue'!C10+'2. Revenue'!C11+'2. Revenue'!C14+'2. Revenue'!C17)*'1. Drivers'!C39</f>
        <v>12685500</v>
      </c>
      <c r="D6" s="13" t="n">
        <f aca="false">('2. Revenue'!D8+'2. Revenue'!D10+'2. Revenue'!D11+'2. Revenue'!D14+'2. Revenue'!D17)*'1. Drivers'!D39</f>
        <v>56191500</v>
      </c>
      <c r="E6" s="13" t="n">
        <f aca="false">('2. Revenue'!E8+'2. Revenue'!E10+'2. Revenue'!E11+'2. Revenue'!E14+'2. Revenue'!E17)*'1. Drivers'!E39</f>
        <v>162976000</v>
      </c>
      <c r="F6" s="13" t="n">
        <f aca="false">('2. Revenue'!F8+'2. Revenue'!F10+'2. Revenue'!F11+'2. Revenue'!F14+'2. Revenue'!F17)*'1. Drivers'!F39</f>
        <v>321332000</v>
      </c>
      <c r="G6" s="13" t="n">
        <f aca="false">('2. Revenue'!G8+'2. Revenue'!G10+'2. Revenue'!G11+'2. Revenue'!G14+'2. Revenue'!G17)*'1. Drivers'!G39</f>
        <v>557237000</v>
      </c>
    </row>
    <row r="7" customFormat="false" ht="15" hidden="false" customHeight="false" outlineLevel="0" collapsed="false">
      <c r="A7" s="10" t="s">
        <v>103</v>
      </c>
      <c r="C7" s="13" t="n">
        <f aca="false">('1. Drivers'!C6+'1. Drivers'!C12+'1. Drivers'!C15+'1. Drivers'!C25+'1. Drivers'!C20)*'1. Drivers'!C36</f>
        <v>800400</v>
      </c>
      <c r="D7" s="13" t="n">
        <f aca="false">('1. Drivers'!D6+'1. Drivers'!D12+'1. Drivers'!D15+'1. Drivers'!D25+'1. Drivers'!D20)*'1. Drivers'!D36</f>
        <v>3676200</v>
      </c>
      <c r="E7" s="13" t="n">
        <f aca="false">('1. Drivers'!E6+'1. Drivers'!E12+'1. Drivers'!E15+'1. Drivers'!E25+'1. Drivers'!E20)*'1. Drivers'!E36</f>
        <v>9960000</v>
      </c>
      <c r="F7" s="13" t="n">
        <f aca="false">('1. Drivers'!F6+'1. Drivers'!F12+'1. Drivers'!F15+'1. Drivers'!F25+'1. Drivers'!F20)*'1. Drivers'!F36</f>
        <v>19123500</v>
      </c>
      <c r="G7" s="13" t="n">
        <f aca="false">('1. Drivers'!G6+'1. Drivers'!G12+'1. Drivers'!G15+'1. Drivers'!G25+'1. Drivers'!G20)*'1. Drivers'!G36</f>
        <v>30474000</v>
      </c>
    </row>
    <row r="8" customFormat="false" ht="15" hidden="false" customHeight="false" outlineLevel="0" collapsed="false">
      <c r="A8" s="14" t="s">
        <v>104</v>
      </c>
      <c r="C8" s="30" t="n">
        <f aca="false">C6+C7</f>
        <v>13485900</v>
      </c>
      <c r="D8" s="30" t="n">
        <f aca="false">D6+D7</f>
        <v>59867700</v>
      </c>
      <c r="E8" s="30" t="n">
        <f aca="false">E6+E7</f>
        <v>172936000</v>
      </c>
      <c r="F8" s="30" t="n">
        <f aca="false">F6+F7</f>
        <v>340455500</v>
      </c>
      <c r="G8" s="30" t="n">
        <f aca="false">G6+G7</f>
        <v>587711000</v>
      </c>
    </row>
    <row r="9" customFormat="false" ht="18.75" hidden="false" customHeight="true" outlineLevel="0" collapsed="false">
      <c r="A9" s="9" t="s">
        <v>105</v>
      </c>
      <c r="B9" s="9"/>
      <c r="C9" s="9"/>
      <c r="D9" s="9"/>
      <c r="E9" s="9"/>
      <c r="F9" s="9"/>
      <c r="G9" s="9"/>
    </row>
    <row r="10" customFormat="false" ht="15" hidden="false" customHeight="false" outlineLevel="0" collapsed="false">
      <c r="A10" s="10" t="s">
        <v>106</v>
      </c>
      <c r="C10" s="13" t="n">
        <f aca="false">'1. Drivers'!C35*'1. Drivers'!C34</f>
        <v>25200000</v>
      </c>
      <c r="D10" s="13" t="n">
        <f aca="false">'1. Drivers'!D35*'1. Drivers'!D34</f>
        <v>58000000</v>
      </c>
      <c r="E10" s="13" t="n">
        <f aca="false">'1. Drivers'!E35*'1. Drivers'!E34</f>
        <v>112500000</v>
      </c>
      <c r="F10" s="13" t="n">
        <f aca="false">'1. Drivers'!F35*'1. Drivers'!F34</f>
        <v>186000000</v>
      </c>
      <c r="G10" s="13" t="n">
        <f aca="false">'1. Drivers'!G35*'1. Drivers'!G34</f>
        <v>272000000</v>
      </c>
    </row>
    <row r="11" customFormat="false" ht="15" hidden="false" customHeight="false" outlineLevel="0" collapsed="false">
      <c r="A11" s="10" t="s">
        <v>107</v>
      </c>
      <c r="C11" s="13" t="n">
        <f aca="false">'2. Revenue'!C22*'1. Drivers'!C37</f>
        <v>16060500</v>
      </c>
      <c r="D11" s="13" t="n">
        <f aca="false">'2. Revenue'!D22*'1. Drivers'!D37</f>
        <v>55198500</v>
      </c>
      <c r="E11" s="13" t="n">
        <f aca="false">'2. Revenue'!E22*'1. Drivers'!E37</f>
        <v>129337600</v>
      </c>
      <c r="F11" s="13" t="n">
        <f aca="false">'2. Revenue'!F22*'1. Drivers'!F37</f>
        <v>222468000</v>
      </c>
      <c r="G11" s="13" t="n">
        <f aca="false">'2. Revenue'!G22*'1. Drivers'!G37</f>
        <v>362670000</v>
      </c>
    </row>
    <row r="12" customFormat="false" ht="15" hidden="false" customHeight="false" outlineLevel="0" collapsed="false">
      <c r="A12" s="10" t="s">
        <v>108</v>
      </c>
      <c r="C12" s="13" t="n">
        <f aca="false">'2. Revenue'!C22*'1. Drivers'!C38</f>
        <v>10707000</v>
      </c>
      <c r="D12" s="13" t="n">
        <f aca="false">'2. Revenue'!D22*'1. Drivers'!D38</f>
        <v>34696200</v>
      </c>
      <c r="E12" s="13" t="n">
        <f aca="false">'2. Revenue'!E22*'1. Drivers'!E38</f>
        <v>83145600</v>
      </c>
      <c r="F12" s="13" t="n">
        <f aca="false">'2. Revenue'!F22*'1. Drivers'!F38</f>
        <v>148312000</v>
      </c>
      <c r="G12" s="13" t="n">
        <f aca="false">'2. Revenue'!G22*'1. Drivers'!G38</f>
        <v>247275000</v>
      </c>
    </row>
    <row r="13" customFormat="false" ht="15" hidden="false" customHeight="false" outlineLevel="0" collapsed="false">
      <c r="A13" s="14" t="s">
        <v>109</v>
      </c>
      <c r="C13" s="30" t="n">
        <f aca="false">SUM(C10,C11,C12)</f>
        <v>51967500</v>
      </c>
      <c r="D13" s="30" t="n">
        <f aca="false">SUM(D10,D11,D12)</f>
        <v>147894700</v>
      </c>
      <c r="E13" s="30" t="n">
        <f aca="false">SUM(E10,E11,E12)</f>
        <v>324983200</v>
      </c>
      <c r="F13" s="30" t="n">
        <f aca="false">SUM(F10,F11,F12)</f>
        <v>556780000</v>
      </c>
      <c r="G13" s="30" t="n">
        <f aca="false">SUM(G10,G11,G12)</f>
        <v>881945000</v>
      </c>
    </row>
    <row r="14" customFormat="false" ht="18.75" hidden="false" customHeight="true" outlineLevel="0" collapsed="false">
      <c r="A14" s="9" t="s">
        <v>110</v>
      </c>
      <c r="B14" s="9"/>
      <c r="C14" s="9"/>
      <c r="D14" s="9"/>
      <c r="E14" s="9"/>
      <c r="F14" s="9"/>
      <c r="G14" s="9"/>
    </row>
    <row r="15" customFormat="false" ht="15" hidden="false" customHeight="false" outlineLevel="0" collapsed="false">
      <c r="A15" s="10" t="s">
        <v>111</v>
      </c>
      <c r="C15" s="31" t="n">
        <f aca="false">'1. Drivers'!C35</f>
        <v>18</v>
      </c>
      <c r="D15" s="31" t="n">
        <f aca="false">'1. Drivers'!D35</f>
        <v>40</v>
      </c>
      <c r="E15" s="31" t="n">
        <f aca="false">'1. Drivers'!E35</f>
        <v>75</v>
      </c>
      <c r="F15" s="31" t="n">
        <f aca="false">'1. Drivers'!F35</f>
        <v>120</v>
      </c>
      <c r="G15" s="31" t="n">
        <f aca="false">'1. Drivers'!G35</f>
        <v>170</v>
      </c>
    </row>
    <row r="16" customFormat="false" ht="15" hidden="false" customHeight="false" outlineLevel="0" collapsed="false">
      <c r="A16" s="10" t="s">
        <v>112</v>
      </c>
      <c r="C16" s="31" t="n">
        <f aca="false">'2. Revenue'!C22/'1. Drivers'!C35</f>
        <v>1982777.77777778</v>
      </c>
      <c r="D16" s="31" t="n">
        <f aca="false">'2. Revenue'!D22/'1. Drivers'!D35</f>
        <v>3942750</v>
      </c>
      <c r="E16" s="31" t="n">
        <f aca="false">'2. Revenue'!E22/'1. Drivers'!E35</f>
        <v>6158933.33333333</v>
      </c>
      <c r="F16" s="31" t="n">
        <f aca="false">'2. Revenue'!F22/'1. Drivers'!F35</f>
        <v>7724583.33333333</v>
      </c>
      <c r="G16" s="31" t="n">
        <f aca="false">'2. Revenue'!G22/'1. Drivers'!G35</f>
        <v>9697058.82352941</v>
      </c>
    </row>
  </sheetData>
  <mergeCells count="5">
    <mergeCell ref="A1:G1"/>
    <mergeCell ref="A2:G2"/>
    <mergeCell ref="A5:G5"/>
    <mergeCell ref="A9:G9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3" style="0" width="15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</row>
    <row r="5" customFormat="false" ht="15" hidden="false" customHeight="false" outlineLevel="0" collapsed="false">
      <c r="A5" s="14" t="s">
        <v>115</v>
      </c>
      <c r="C5" s="32" t="n">
        <f aca="false">'2. Revenue'!C22</f>
        <v>35690000</v>
      </c>
      <c r="D5" s="32" t="n">
        <f aca="false">'2. Revenue'!D22</f>
        <v>157710000</v>
      </c>
      <c r="E5" s="32" t="n">
        <f aca="false">'2. Revenue'!E22</f>
        <v>461920000</v>
      </c>
      <c r="F5" s="32" t="n">
        <f aca="false">'2. Revenue'!F22</f>
        <v>926950000</v>
      </c>
      <c r="G5" s="32" t="n">
        <f aca="false">'2. Revenue'!G22</f>
        <v>1648500000</v>
      </c>
    </row>
    <row r="6" customFormat="false" ht="15" hidden="false" customHeight="false" outlineLevel="0" collapsed="false">
      <c r="A6" s="10" t="s">
        <v>101</v>
      </c>
      <c r="C6" s="33" t="n">
        <f aca="false">-'4. Costs &amp; Headcount'!C8</f>
        <v>-13485900</v>
      </c>
      <c r="D6" s="33" t="n">
        <f aca="false">-'4. Costs &amp; Headcount'!D8</f>
        <v>-59867700</v>
      </c>
      <c r="E6" s="33" t="n">
        <f aca="false">-'4. Costs &amp; Headcount'!E8</f>
        <v>-172936000</v>
      </c>
      <c r="F6" s="33" t="n">
        <f aca="false">-'4. Costs &amp; Headcount'!F8</f>
        <v>-340455500</v>
      </c>
      <c r="G6" s="33" t="n">
        <f aca="false">-'4. Costs &amp; Headcount'!G8</f>
        <v>-587711000</v>
      </c>
    </row>
    <row r="7" customFormat="false" ht="15" hidden="false" customHeight="false" outlineLevel="0" collapsed="false">
      <c r="A7" s="14" t="s">
        <v>116</v>
      </c>
      <c r="C7" s="34" t="n">
        <f aca="false">C5+C6</f>
        <v>22204100</v>
      </c>
      <c r="D7" s="34" t="n">
        <f aca="false">D5+D6</f>
        <v>97842300</v>
      </c>
      <c r="E7" s="34" t="n">
        <f aca="false">E5+E6</f>
        <v>288984000</v>
      </c>
      <c r="F7" s="34" t="n">
        <f aca="false">F5+F6</f>
        <v>586494500</v>
      </c>
      <c r="G7" s="34" t="n">
        <f aca="false">G5+G6</f>
        <v>1060789000</v>
      </c>
    </row>
    <row r="8" customFormat="false" ht="15" hidden="false" customHeight="false" outlineLevel="0" collapsed="false">
      <c r="A8" s="10" t="s">
        <v>117</v>
      </c>
      <c r="C8" s="35" t="n">
        <f aca="false">C7/C5</f>
        <v>0.622137853740544</v>
      </c>
      <c r="D8" s="35" t="n">
        <f aca="false">D7/D5</f>
        <v>0.620393760700019</v>
      </c>
      <c r="E8" s="35" t="n">
        <f aca="false">E7/E5</f>
        <v>0.625614825077936</v>
      </c>
      <c r="F8" s="35" t="n">
        <f aca="false">F7/F5</f>
        <v>0.632714278008523</v>
      </c>
      <c r="G8" s="35" t="n">
        <f aca="false">G7/G5</f>
        <v>0.643487412799515</v>
      </c>
    </row>
    <row r="9" customFormat="false" ht="15" hidden="false" customHeight="false" outlineLevel="0" collapsed="false">
      <c r="A9" s="10" t="s">
        <v>118</v>
      </c>
      <c r="C9" s="33" t="n">
        <f aca="false">-'4. Costs &amp; Headcount'!C10</f>
        <v>-25200000</v>
      </c>
      <c r="D9" s="33" t="n">
        <f aca="false">-'4. Costs &amp; Headcount'!D10</f>
        <v>-58000000</v>
      </c>
      <c r="E9" s="33" t="n">
        <f aca="false">-'4. Costs &amp; Headcount'!E10</f>
        <v>-112500000</v>
      </c>
      <c r="F9" s="33" t="n">
        <f aca="false">-'4. Costs &amp; Headcount'!F10</f>
        <v>-186000000</v>
      </c>
      <c r="G9" s="33" t="n">
        <f aca="false">-'4. Costs &amp; Headcount'!G10</f>
        <v>-272000000</v>
      </c>
    </row>
    <row r="10" customFormat="false" ht="15" hidden="false" customHeight="false" outlineLevel="0" collapsed="false">
      <c r="A10" s="10" t="s">
        <v>107</v>
      </c>
      <c r="C10" s="33" t="n">
        <f aca="false">-'4. Costs &amp; Headcount'!C11</f>
        <v>-16060500</v>
      </c>
      <c r="D10" s="33" t="n">
        <f aca="false">-'4. Costs &amp; Headcount'!D11</f>
        <v>-55198500</v>
      </c>
      <c r="E10" s="33" t="n">
        <f aca="false">-'4. Costs &amp; Headcount'!E11</f>
        <v>-129337600</v>
      </c>
      <c r="F10" s="33" t="n">
        <f aca="false">-'4. Costs &amp; Headcount'!F11</f>
        <v>-222468000</v>
      </c>
      <c r="G10" s="33" t="n">
        <f aca="false">-'4. Costs &amp; Headcount'!G11</f>
        <v>-362670000</v>
      </c>
    </row>
    <row r="11" customFormat="false" ht="15" hidden="false" customHeight="false" outlineLevel="0" collapsed="false">
      <c r="A11" s="10" t="s">
        <v>108</v>
      </c>
      <c r="C11" s="33" t="n">
        <f aca="false">-'4. Costs &amp; Headcount'!C12</f>
        <v>-10707000</v>
      </c>
      <c r="D11" s="33" t="n">
        <f aca="false">-'4. Costs &amp; Headcount'!D12</f>
        <v>-34696200</v>
      </c>
      <c r="E11" s="33" t="n">
        <f aca="false">-'4. Costs &amp; Headcount'!E12</f>
        <v>-83145600</v>
      </c>
      <c r="F11" s="33" t="n">
        <f aca="false">-'4. Costs &amp; Headcount'!F12</f>
        <v>-148312000</v>
      </c>
      <c r="G11" s="33" t="n">
        <f aca="false">-'4. Costs &amp; Headcount'!G12</f>
        <v>-247275000</v>
      </c>
    </row>
    <row r="12" customFormat="false" ht="15" hidden="false" customHeight="false" outlineLevel="0" collapsed="false">
      <c r="A12" s="14" t="s">
        <v>119</v>
      </c>
      <c r="C12" s="36" t="n">
        <f aca="false">C7+C9+C10+C11</f>
        <v>-29763400</v>
      </c>
      <c r="D12" s="36" t="n">
        <f aca="false">D7+D9+D10+D11</f>
        <v>-50052400</v>
      </c>
      <c r="E12" s="36" t="n">
        <f aca="false">E7+E9+E10+E11</f>
        <v>-35999200</v>
      </c>
      <c r="F12" s="36" t="n">
        <f aca="false">F7+F9+F10+F11</f>
        <v>29714500</v>
      </c>
      <c r="G12" s="36" t="n">
        <f aca="false">G7+G9+G10+G11</f>
        <v>178844000</v>
      </c>
    </row>
    <row r="13" customFormat="false" ht="15" hidden="false" customHeight="false" outlineLevel="0" collapsed="false">
      <c r="A13" s="10" t="s">
        <v>120</v>
      </c>
      <c r="C13" s="35" t="n">
        <f aca="false">C12/C5</f>
        <v>-0.833942280750911</v>
      </c>
      <c r="D13" s="35" t="n">
        <f aca="false">D12/D5</f>
        <v>-0.317369856064929</v>
      </c>
      <c r="E13" s="35" t="n">
        <f aca="false">E12/E5</f>
        <v>-0.0779338413578109</v>
      </c>
      <c r="F13" s="35" t="n">
        <f aca="false">F12/F5</f>
        <v>0.032056205836345</v>
      </c>
      <c r="G13" s="35" t="n">
        <f aca="false">G12/G5</f>
        <v>0.108488929329694</v>
      </c>
    </row>
    <row r="15" customFormat="false" ht="15" hidden="false" customHeight="false" outlineLevel="0" collapsed="false">
      <c r="A15" s="17" t="s">
        <v>121</v>
      </c>
      <c r="C15" s="18" t="n">
        <f aca="false">C5/10000000</f>
        <v>3.569</v>
      </c>
      <c r="D15" s="18" t="n">
        <f aca="false">D5/10000000</f>
        <v>15.771</v>
      </c>
      <c r="E15" s="18" t="n">
        <f aca="false">E5/10000000</f>
        <v>46.192</v>
      </c>
      <c r="F15" s="18" t="n">
        <f aca="false">F5/10000000</f>
        <v>92.695</v>
      </c>
      <c r="G15" s="18" t="n">
        <f aca="false">G5/10000000</f>
        <v>164.85</v>
      </c>
    </row>
    <row r="16" customFormat="false" ht="15" hidden="false" customHeight="false" outlineLevel="0" collapsed="false">
      <c r="A16" s="17" t="s">
        <v>122</v>
      </c>
      <c r="C16" s="37" t="n">
        <f aca="false">C12/10000000</f>
        <v>-2.97634</v>
      </c>
      <c r="D16" s="37" t="n">
        <f aca="false">D12/10000000</f>
        <v>-5.00524</v>
      </c>
      <c r="E16" s="37" t="n">
        <f aca="false">E12/10000000</f>
        <v>-3.59992</v>
      </c>
      <c r="F16" s="37" t="n">
        <f aca="false">F12/10000000</f>
        <v>2.97145</v>
      </c>
      <c r="G16" s="37" t="n">
        <f aca="false">G12/10000000</f>
        <v>17.8844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3" style="0" width="14"/>
  </cols>
  <sheetData>
    <row r="1" customFormat="false" ht="27.75" hidden="false" customHeight="true" outlineLevel="0" collapsed="false">
      <c r="A1" s="1" t="s">
        <v>123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124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7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</row>
    <row r="5" customFormat="false" ht="15" hidden="false" customHeight="false" outlineLevel="0" collapsed="false">
      <c r="A5" s="14" t="s">
        <v>121</v>
      </c>
      <c r="C5" s="38" t="n">
        <f aca="false">'5. P&amp;L'!C5/10000000</f>
        <v>3.569</v>
      </c>
      <c r="D5" s="38" t="n">
        <f aca="false">'5. P&amp;L'!D5/10000000</f>
        <v>15.771</v>
      </c>
      <c r="E5" s="38" t="n">
        <f aca="false">'5. P&amp;L'!E5/10000000</f>
        <v>46.192</v>
      </c>
      <c r="F5" s="38" t="n">
        <f aca="false">'5. P&amp;L'!F5/10000000</f>
        <v>92.695</v>
      </c>
      <c r="G5" s="38" t="n">
        <f aca="false">'5. P&amp;L'!G5/10000000</f>
        <v>164.85</v>
      </c>
    </row>
    <row r="6" customFormat="false" ht="15" hidden="false" customHeight="false" outlineLevel="0" collapsed="false">
      <c r="A6" s="14" t="s">
        <v>122</v>
      </c>
      <c r="C6" s="39" t="n">
        <f aca="false">'5. P&amp;L'!C12/10000000</f>
        <v>-2.97634</v>
      </c>
      <c r="D6" s="39" t="n">
        <f aca="false">'5. P&amp;L'!D12/10000000</f>
        <v>-5.00524</v>
      </c>
      <c r="E6" s="39" t="n">
        <f aca="false">'5. P&amp;L'!E12/10000000</f>
        <v>-3.59992</v>
      </c>
      <c r="F6" s="39" t="n">
        <f aca="false">'5. P&amp;L'!F12/10000000</f>
        <v>2.97145</v>
      </c>
      <c r="G6" s="39" t="n">
        <f aca="false">'5. P&amp;L'!G12/10000000</f>
        <v>17.8844</v>
      </c>
    </row>
    <row r="7" customFormat="false" ht="15" hidden="false" customHeight="false" outlineLevel="0" collapsed="false">
      <c r="A7" s="10" t="s">
        <v>120</v>
      </c>
      <c r="C7" s="35" t="n">
        <f aca="false">'5. P&amp;L'!C12/'5. P&amp;L'!C5</f>
        <v>-0.833942280750911</v>
      </c>
      <c r="D7" s="35" t="n">
        <f aca="false">'5. P&amp;L'!D12/'5. P&amp;L'!D5</f>
        <v>-0.317369856064929</v>
      </c>
      <c r="E7" s="35" t="n">
        <f aca="false">'5. P&amp;L'!E12/'5. P&amp;L'!E5</f>
        <v>-0.0779338413578109</v>
      </c>
      <c r="F7" s="35" t="n">
        <f aca="false">'5. P&amp;L'!F12/'5. P&amp;L'!F5</f>
        <v>0.032056205836345</v>
      </c>
      <c r="G7" s="35" t="n">
        <f aca="false">'5. P&amp;L'!G12/'5. P&amp;L'!G5</f>
        <v>0.108488929329694</v>
      </c>
    </row>
    <row r="8" customFormat="false" ht="15" hidden="false" customHeight="false" outlineLevel="0" collapsed="false">
      <c r="A8" s="14" t="s">
        <v>125</v>
      </c>
      <c r="C8" s="40" t="n">
        <f aca="false">C6</f>
        <v>-2.97634</v>
      </c>
      <c r="D8" s="40" t="n">
        <f aca="false">C8+D6</f>
        <v>-7.98158</v>
      </c>
      <c r="E8" s="40" t="n">
        <f aca="false">D8+E6</f>
        <v>-11.5815</v>
      </c>
      <c r="F8" s="40" t="n">
        <f aca="false">E8+F6</f>
        <v>-8.61005</v>
      </c>
      <c r="G8" s="40" t="n">
        <f aca="false">F8+G6</f>
        <v>9.27435</v>
      </c>
    </row>
    <row r="10" customFormat="false" ht="15" hidden="false" customHeight="false" outlineLevel="0" collapsed="false">
      <c r="A10" s="3" t="s">
        <v>126</v>
      </c>
    </row>
    <row r="11" customFormat="false" ht="17.35" hidden="false" customHeight="false" outlineLevel="0" collapsed="false">
      <c r="A11" s="41" t="s">
        <v>127</v>
      </c>
      <c r="C11" s="42" t="n">
        <f aca="false">G5</f>
        <v>164.85</v>
      </c>
    </row>
    <row r="12" customFormat="false" ht="17.35" hidden="false" customHeight="false" outlineLevel="0" collapsed="false">
      <c r="A12" s="41" t="s">
        <v>128</v>
      </c>
      <c r="C12" s="43" t="n">
        <f aca="false">G6</f>
        <v>17.8844</v>
      </c>
    </row>
    <row r="13" customFormat="false" ht="17.35" hidden="false" customHeight="false" outlineLevel="0" collapsed="false">
      <c r="A13" s="41" t="s">
        <v>129</v>
      </c>
      <c r="C13" s="44" t="n">
        <f aca="false">G7</f>
        <v>0.108488929329694</v>
      </c>
    </row>
    <row r="14" customFormat="false" ht="17.35" hidden="false" customHeight="false" outlineLevel="0" collapsed="false">
      <c r="A14" s="41" t="s">
        <v>130</v>
      </c>
      <c r="C14" s="43" t="n">
        <f aca="false">G8</f>
        <v>9.27435</v>
      </c>
    </row>
    <row r="16" customFormat="false" ht="15" hidden="false" customHeight="false" outlineLevel="0" collapsed="false">
      <c r="A16" s="45" t="s">
        <v>131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2026-06-25T06:41:25Z</dcterms:created>
  <dc:creator>openpyxl</dc:creator>
  <dc:description/>
  <dc:language>en-US</dc:language>
  <cp:lastModifiedBy/>
  <dcterms:modified xsi:type="dcterms:W3CDTF">2026-06-25T06:41:26Z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