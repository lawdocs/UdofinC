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SME Inter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  <font>
      <name val="Arial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1E7A8C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3" fontId="6" fillId="3" borderId="1" pivotButton="0" quotePrefix="0" xfId="0"/>
    <xf numFmtId="0" fontId="6" fillId="3" borderId="1" pivotButton="0" quotePrefix="0" xfId="0"/>
    <xf numFmtId="1" fontId="6" fillId="3" borderId="1" pivotButton="0" quotePrefix="0" xfId="0"/>
    <xf numFmtId="164" fontId="6" fillId="3" borderId="1" pivotButton="0" quotePrefix="0" xfId="0"/>
    <xf numFmtId="165" fontId="3" fillId="0" borderId="1" pivotButton="0" quotePrefix="0" xfId="0"/>
    <xf numFmtId="1" fontId="3" fillId="0" borderId="1" pivotButton="0" quotePrefix="0" xfId="0"/>
    <xf numFmtId="164" fontId="3" fillId="0" borderId="1" pivotButton="0" quotePrefix="0" xfId="0"/>
    <xf numFmtId="2" fontId="3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MSME Delayed-Payment Interest Calculator</t>
        </is>
      </c>
    </row>
    <row r="3">
      <c r="B3" s="2" t="inlineStr">
        <is>
          <t>Computes statutory interest under Section 16 of the MSMED Act, 2006 (3x bank rate, compounded monthly).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Edit the blue/yellow cells on 'MSME Interest'. Results update automatically.</t>
        </is>
      </c>
    </row>
    <row r="8">
      <c r="B8" s="3" t="inlineStr">
        <is>
          <t>- Payment is due within the agreed period or, absent agreement, 45 days (s.15).</t>
        </is>
      </c>
    </row>
    <row r="9">
      <c r="B9" s="3" t="inlineStr">
        <is>
          <t>- Interest runs from the due date at THREE TIMES the RBI notified bank rate, compounded with monthly rests (s.16).</t>
        </is>
      </c>
    </row>
    <row r="10">
      <c r="B10" s="3" t="inlineStr">
        <is>
          <t>- Enter today's date as the payment date if still unpaid.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8" customWidth="1" min="3" max="3"/>
  </cols>
  <sheetData>
    <row r="2">
      <c r="B2" s="1" t="inlineStr">
        <is>
          <t>MSME Delayed-Payment Interest</t>
        </is>
      </c>
    </row>
    <row r="3">
      <c r="B3" s="2" t="inlineStr">
        <is>
          <t>Blue = input; black = calculated. Section 16, MSMED Act, 2006.</t>
        </is>
      </c>
    </row>
    <row r="5">
      <c r="B5" s="5" t="inlineStr">
        <is>
          <t>INPUTS</t>
        </is>
      </c>
    </row>
    <row r="6">
      <c r="B6" s="3" t="inlineStr">
        <is>
          <t>Principal amount due (₹)</t>
        </is>
      </c>
      <c r="C6" s="6" t="n">
        <v>1000000</v>
      </c>
    </row>
    <row r="7">
      <c r="B7" s="3" t="inlineStr">
        <is>
          <t>Date of acceptance / deemed acceptance</t>
        </is>
      </c>
      <c r="C7" s="7" t="inlineStr">
        <is>
          <t>2026-01-15</t>
        </is>
      </c>
    </row>
    <row r="8">
      <c r="B8" s="3" t="inlineStr">
        <is>
          <t>Agreed credit period (days, max 45)</t>
        </is>
      </c>
      <c r="C8" s="8" t="n">
        <v>45</v>
      </c>
    </row>
    <row r="9">
      <c r="B9" s="3" t="inlineStr">
        <is>
          <t>Payment date (or today, if unpaid)</t>
        </is>
      </c>
      <c r="C9" s="7" t="inlineStr">
        <is>
          <t>2026-07-19</t>
        </is>
      </c>
    </row>
    <row r="10">
      <c r="B10" s="3" t="inlineStr">
        <is>
          <t>RBI notified bank rate (% p.a.)</t>
        </is>
      </c>
      <c r="C10" s="9" t="n">
        <v>0.06</v>
      </c>
    </row>
    <row r="12">
      <c r="B12" s="5" t="inlineStr">
        <is>
          <t>CALCULATED</t>
        </is>
      </c>
    </row>
    <row r="13">
      <c r="B13" s="3" t="inlineStr">
        <is>
          <t>Due date (acceptance + credit period)</t>
        </is>
      </c>
      <c r="C13" s="10">
        <f>DATE(YEAR(C7),MONTH(C7),DAY(C7))+MIN(C8,45)</f>
        <v/>
      </c>
    </row>
    <row r="14">
      <c r="B14" s="3" t="inlineStr">
        <is>
          <t>Days overdue</t>
        </is>
      </c>
      <c r="C14" s="11">
        <f>MAX(0,DATEVALUE(C9)-C13)</f>
        <v/>
      </c>
    </row>
    <row r="15">
      <c r="B15" s="3" t="inlineStr">
        <is>
          <t>Statutory interest rate (3x bank rate)</t>
        </is>
      </c>
      <c r="C15" s="12">
        <f>3*C10</f>
        <v/>
      </c>
    </row>
    <row r="16">
      <c r="B16" s="3" t="inlineStr">
        <is>
          <t>Months overdue (approx, 30-day)</t>
        </is>
      </c>
      <c r="C16" s="13">
        <f>C14/30</f>
        <v/>
      </c>
    </row>
    <row r="17">
      <c r="B17" s="4" t="inlineStr">
        <is>
          <t>Interest (compounded monthly) (₹)</t>
        </is>
      </c>
      <c r="C17" s="14">
        <f>C6*(POWER(1+C15/12,C16)-1)</f>
        <v/>
      </c>
    </row>
    <row r="18">
      <c r="B18" s="4" t="inlineStr">
        <is>
          <t>Total payable (principal + interest) (₹)</t>
        </is>
      </c>
      <c r="C18" s="14">
        <f>C6+C17</f>
        <v/>
      </c>
    </row>
    <row r="20">
      <c r="B20" s="2" t="inlineStr">
        <is>
          <t>Indicative. Confirm the current RBI bank rate and the exact acceptance/credit terms; interest is compounded with monthly rests (s.16).</t>
        </is>
      </c>
    </row>
  </sheetData>
  <mergeCells count="2">
    <mergeCell ref="B3:C3"/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B40882-E2C1-4E25-9C9B-605FDB36D109}"/>
</file>

<file path=customXml/itemProps2.xml><?xml version="1.0" encoding="utf-8"?>
<ds:datastoreItem xmlns:ds="http://schemas.openxmlformats.org/officeDocument/2006/customXml" ds:itemID="{CC71BA0C-EE15-4595-9F4E-D8A08E555741}"/>
</file>

<file path=customXml/itemProps3.xml><?xml version="1.0" encoding="utf-8"?>
<ds:datastoreItem xmlns:ds="http://schemas.openxmlformats.org/officeDocument/2006/customXml" ds:itemID="{94F752A2-3279-4A42-BB0F-716987386FA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2026-07-19T18:09:29Z</dcterms:created>
  <dcterms:modified xsi:type="dcterms:W3CDTF">2026-07-19T18:09:29Z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