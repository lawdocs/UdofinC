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ee Estima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  <font>
      <name val="Arial"/>
      <color rgb="FF0000FF"/>
      <sz val="10"/>
    </font>
  </fonts>
  <fills count="4">
    <fill>
      <patternFill/>
    </fill>
    <fill>
      <patternFill patternType="gray125"/>
    </fill>
    <fill>
      <patternFill patternType="solid">
        <fgColor rgb="FF1E7A8C"/>
      </patternFill>
    </fill>
    <fill>
      <patternFill patternType="solid">
        <fgColor rgb="FFFFF6D5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3" fontId="6" fillId="3" borderId="1" pivotButton="0" quotePrefix="0" xfId="0"/>
    <xf numFmtId="1" fontId="6" fillId="3" borderId="1" pivotButton="0" quotePrefix="0" xfId="0"/>
    <xf numFmtId="164" fontId="6" fillId="3" borderId="1" pivotButton="0" quotePrefix="0" xfId="0"/>
    <xf numFmtId="3" fontId="3" fillId="0" borderId="1" pivotButton="0" quotePrefix="0" xfId="0"/>
    <xf numFmtId="3" fontId="4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Equator Resolution — Commercial Fee Estimator</t>
        </is>
      </c>
    </row>
    <row r="3">
      <c r="B3" s="2" t="inlineStr">
        <is>
          <t>Indicative arbitration/mediation cost from the amount in dispute. Not the final tariff.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Edit the blue/yellow cells on 'Fee Estimator'. Results update automatically.</t>
        </is>
      </c>
    </row>
    <row r="8">
      <c r="B8" s="3" t="inlineStr">
        <is>
          <t>- Arbitrator fee follows the model of the Fourth Schedule to the Arbitration &amp; Conciliation Act, 1996;</t>
        </is>
      </c>
    </row>
    <row r="9">
      <c r="B9" s="3" t="inlineStr">
        <is>
          <t xml:space="preserve">  a sole arbitrator is entitled to 25% more; a fast-track (s.29B) matter attracts a discount.</t>
        </is>
      </c>
    </row>
    <row r="10">
      <c r="B10" s="3" t="inlineStr">
        <is>
          <t>- Admin (ad valorem) and registration fees are illustrative Equator figures — confirm against the published tariff.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8" customWidth="1" min="3" max="3"/>
  </cols>
  <sheetData>
    <row r="2">
      <c r="B2" s="1" t="inlineStr">
        <is>
          <t>Commercial Fee Estimator</t>
        </is>
      </c>
    </row>
    <row r="3">
      <c r="B3" s="2" t="inlineStr">
        <is>
          <t>Blue = input; black = calculated.</t>
        </is>
      </c>
    </row>
    <row r="5">
      <c r="B5" s="5" t="inlineStr">
        <is>
          <t>INPUTS</t>
        </is>
      </c>
    </row>
    <row r="6">
      <c r="B6" s="3" t="inlineStr">
        <is>
          <t>Amount in dispute (₹)</t>
        </is>
      </c>
      <c r="C6" s="6" t="n">
        <v>15000000</v>
      </c>
    </row>
    <row r="7">
      <c r="B7" s="3" t="inlineStr">
        <is>
          <t>Number of arbitrators (1 = sole, 3 = panel)</t>
        </is>
      </c>
      <c r="C7" s="7" t="n">
        <v>1</v>
      </c>
    </row>
    <row r="8">
      <c r="B8" s="3" t="inlineStr">
        <is>
          <t>Fast-track (s.29B)?  (1 = yes, 0 = no)</t>
        </is>
      </c>
      <c r="C8" s="7" t="n">
        <v>0</v>
      </c>
    </row>
    <row r="9">
      <c r="B9" s="3" t="inlineStr">
        <is>
          <t>Administration fee rate (% of claim, ad valorem)</t>
        </is>
      </c>
      <c r="C9" s="8" t="n">
        <v>0.01</v>
      </c>
    </row>
    <row r="10">
      <c r="B10" s="3" t="inlineStr">
        <is>
          <t>Administration fee cap (₹)</t>
        </is>
      </c>
      <c r="C10" s="6" t="n">
        <v>1000000</v>
      </c>
    </row>
    <row r="11">
      <c r="B11" s="3" t="inlineStr">
        <is>
          <t>Registration fee (₹)</t>
        </is>
      </c>
      <c r="C11" s="6" t="n">
        <v>25000</v>
      </c>
    </row>
    <row r="13">
      <c r="B13" s="5" t="inlineStr">
        <is>
          <t>CALCULATED</t>
        </is>
      </c>
    </row>
    <row r="14">
      <c r="B14" s="3" t="inlineStr">
        <is>
          <t>Fourth Schedule base fee (per arbitrator)</t>
        </is>
      </c>
      <c r="C14" s="9">
        <f>IF(C6&lt;=500000,45000,IF(C6&lt;=2000000,45000+0.035*(C6-500000),IF(C6&lt;=10000000,97500+0.03*(C6-2000000),IF(C6&lt;=100000000,337500+0.01*(C6-10000000),IF(C6&lt;=200000000,1237500+0.0075*(C6-100000000),MIN(3000000,1987500+0.005*(C6-200000000)))))))</f>
        <v/>
      </c>
    </row>
    <row r="15">
      <c r="B15" s="3" t="inlineStr">
        <is>
          <t>Tribunal fee (sole +25%, else x no. of arbitrators)</t>
        </is>
      </c>
      <c r="C15" s="9">
        <f>IF(C7=1,C14*1.25,C14*C7)</f>
        <v/>
      </c>
    </row>
    <row r="16">
      <c r="B16" s="3" t="inlineStr">
        <is>
          <t>Fast-track adjustment</t>
        </is>
      </c>
      <c r="C16" s="9">
        <f>IF(C8=1,-0.25*C15,0)</f>
        <v/>
      </c>
    </row>
    <row r="17">
      <c r="B17" s="4" t="inlineStr">
        <is>
          <t>Arbitrator / tribunal fee (payable)</t>
        </is>
      </c>
      <c r="C17" s="10">
        <f>C15+C16</f>
        <v/>
      </c>
    </row>
    <row r="18">
      <c r="B18" s="3" t="inlineStr">
        <is>
          <t>Administration fee (ad valorem, capped)</t>
        </is>
      </c>
      <c r="C18" s="9">
        <f>MIN(C6*C9,C10)</f>
        <v/>
      </c>
    </row>
    <row r="19">
      <c r="B19" s="3" t="inlineStr">
        <is>
          <t>Registration fee</t>
        </is>
      </c>
      <c r="C19" s="9">
        <f>C11</f>
        <v/>
      </c>
    </row>
    <row r="20">
      <c r="B20" s="4" t="inlineStr">
        <is>
          <t>TOTAL institution + tribunal (₹)</t>
        </is>
      </c>
      <c r="C20" s="10">
        <f>C17+C18+C19</f>
        <v/>
      </c>
    </row>
    <row r="21">
      <c r="B21" s="4" t="inlineStr">
        <is>
          <t>Indicative cost per party (÷2) (₹)</t>
        </is>
      </c>
      <c r="C21" s="10">
        <f>C20/2</f>
        <v/>
      </c>
    </row>
    <row r="22">
      <c r="B22" s="3" t="inlineStr">
        <is>
          <t>As % of amount in dispute</t>
        </is>
      </c>
      <c r="C22" s="11">
        <f>IFERROR(C20/C6,0)</f>
        <v/>
      </c>
    </row>
    <row r="24">
      <c r="B24" s="2" t="inlineStr">
        <is>
          <t>Illustrative. The Fourth Schedule is a model scale; institutions may adopt their own. Excludes GST, escrow &amp; expenses.</t>
        </is>
      </c>
    </row>
  </sheetData>
  <mergeCells count="2">
    <mergeCell ref="B3:C3"/>
    <mergeCell ref="B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0AEB06-1C08-4368-84E0-FF38292D3856}"/>
</file>

<file path=customXml/itemProps2.xml><?xml version="1.0" encoding="utf-8"?>
<ds:datastoreItem xmlns:ds="http://schemas.openxmlformats.org/officeDocument/2006/customXml" ds:itemID="{B5B2A25C-EA49-4BE2-83B4-6D729340C97D}"/>
</file>

<file path=customXml/itemProps3.xml><?xml version="1.0" encoding="utf-8"?>
<ds:datastoreItem xmlns:ds="http://schemas.openxmlformats.org/officeDocument/2006/customXml" ds:itemID="{2633845E-6555-4236-A70F-7B9C29DF741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2026-07-19T18:09:29Z</dcterms:created>
  <dcterms:modified xsi:type="dcterms:W3CDTF">2026-07-19T18:09:29Z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