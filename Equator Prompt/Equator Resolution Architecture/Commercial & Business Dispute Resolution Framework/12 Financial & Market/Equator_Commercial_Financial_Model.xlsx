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PnL" sheetId="3" state="visible" r:id="rId5"/>
    <sheet name="UnitEconomics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<sst xmlns="http://schemas.openxmlformats.org/spreadsheetml/2006/main" count="70" uniqueCount="66">
  <si>
    <t xml:space="preserve">Equator Resolution — Commercial Vertical Financial Model</t>
  </si>
  <si>
    <t xml:space="preserve">Illustrative. Blue/yellow = inputs; black = formulas. Institutions earn mainly on administration fees.</t>
  </si>
  <si>
    <t xml:space="preserve">HOW TO USE</t>
  </si>
  <si>
    <t xml:space="preserve">- Edit inputs on 'Assumptions' only; other sheets recalculate.</t>
  </si>
  <si>
    <t xml:space="preserve">- Revenue is modelled as: admin (ad valorem) + registration + escrow for arbitration; flat fees for mediation &amp; MSME.</t>
  </si>
  <si>
    <t xml:space="preserve">- The arbitrator's own fee is treated as pass-through (Equator's institutional revenue is the admin fee).</t>
  </si>
  <si>
    <t xml:space="preserve">IMPORTANT</t>
  </si>
  <si>
    <t xml:space="preserve">All figures are assumptions, not projections. Validate every input against Equator's tariff and pipeline.</t>
  </si>
  <si>
    <t xml:space="preserve">Assumptions</t>
  </si>
  <si>
    <t xml:space="preserve">Edit blue/yellow cells only.</t>
  </si>
  <si>
    <t xml:space="preserve">VOLUME &amp; MIX</t>
  </si>
  <si>
    <t xml:space="preserve">Cases — Year 1</t>
  </si>
  <si>
    <t xml:space="preserve">Cases — Year 2</t>
  </si>
  <si>
    <t xml:space="preserve">Cases — Year 3</t>
  </si>
  <si>
    <t xml:space="preserve">Share — arbitration</t>
  </si>
  <si>
    <t xml:space="preserve">Share — mediation / s.12A</t>
  </si>
  <si>
    <t xml:space="preserve">Share — MSME</t>
  </si>
  <si>
    <t xml:space="preserve">FEES &amp; RATES</t>
  </si>
  <si>
    <t xml:space="preserve">Average claim value (₹)</t>
  </si>
  <si>
    <t xml:space="preserve">Administration fee (% of claim)</t>
  </si>
  <si>
    <t xml:space="preserve">Administration fee cap (₹)</t>
  </si>
  <si>
    <t xml:space="preserve">Registration fee (₹)</t>
  </si>
  <si>
    <t xml:space="preserve">Escrow: avg amount held (₹)</t>
  </si>
  <si>
    <t xml:space="preserve">Escrow fee (% of amount)</t>
  </si>
  <si>
    <t xml:space="preserve">Share of arbitration cases with escrow</t>
  </si>
  <si>
    <t xml:space="preserve">Mediation fee to Equator (per case, ₹)</t>
  </si>
  <si>
    <t xml:space="preserve">MSME fee to Equator (per case, ₹)</t>
  </si>
  <si>
    <t xml:space="preserve">Variable cost per case (₹)</t>
  </si>
  <si>
    <t xml:space="preserve">ANNUAL FIXED COSTS ₹</t>
  </si>
  <si>
    <t xml:space="preserve">Year 1</t>
  </si>
  <si>
    <t xml:space="preserve">Year 2</t>
  </si>
  <si>
    <t xml:space="preserve">Year 3</t>
  </si>
  <si>
    <t xml:space="preserve">Technology &amp; platform</t>
  </si>
  <si>
    <t xml:space="preserve">Salaries (ops &amp; case managers)</t>
  </si>
  <si>
    <t xml:space="preserve">Panel &amp; neutral development</t>
  </si>
  <si>
    <t xml:space="preserve">Marketing &amp; BD</t>
  </si>
  <si>
    <t xml:space="preserve">Legal &amp; compliance</t>
  </si>
  <si>
    <t xml:space="preserve">Admin &amp; overhead</t>
  </si>
  <si>
    <t xml:space="preserve">Total fixed costs</t>
  </si>
  <si>
    <t xml:space="preserve">Per-case revenue (blended, ₹)</t>
  </si>
  <si>
    <t xml:space="preserve">Cases</t>
  </si>
  <si>
    <t xml:space="preserve">Total revenue</t>
  </si>
  <si>
    <t xml:space="preserve">Variable costs</t>
  </si>
  <si>
    <t xml:space="preserve">Contribution</t>
  </si>
  <si>
    <t xml:space="preserve">Contribution margin</t>
  </si>
  <si>
    <t xml:space="preserve">Fixed costs</t>
  </si>
  <si>
    <t xml:space="preserve">EBITDA</t>
  </si>
  <si>
    <t xml:space="preserve">EBITDA margin</t>
  </si>
  <si>
    <t xml:space="preserve">Per-Case Economics &amp; Break-Even</t>
  </si>
  <si>
    <t xml:space="preserve">Blended basis. ₹.</t>
  </si>
  <si>
    <t xml:space="preserve">Blended revenue per case</t>
  </si>
  <si>
    <t xml:space="preserve">Variable cost per case</t>
  </si>
  <si>
    <t xml:space="preserve">Contribution per case</t>
  </si>
  <si>
    <t xml:space="preserve">Year-1 fixed costs</t>
  </si>
  <si>
    <t xml:space="preserve">Break-even cases (Year 1)</t>
  </si>
  <si>
    <t xml:space="preserve">Year-1 planned cases</t>
  </si>
  <si>
    <t xml:space="preserve">Margin of safety (cases)</t>
  </si>
  <si>
    <t xml:space="preserve">Scenario</t>
  </si>
  <si>
    <t xml:space="preserve">Factor</t>
  </si>
  <si>
    <t xml:space="preserve">Year 1 EBITDA</t>
  </si>
  <si>
    <t xml:space="preserve">Year 2 EBITDA</t>
  </si>
  <si>
    <t xml:space="preserve">Year 3 EBITDA</t>
  </si>
  <si>
    <t xml:space="preserve">Conservative</t>
  </si>
  <si>
    <t xml:space="preserve">Base case</t>
  </si>
  <si>
    <t xml:space="preserve">Optimistic</t>
  </si>
  <si>
    <t xml:space="preserve">Revenue scales with volume; fixed costs held per year.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</si>
</sst>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%"/>
    <numFmt numFmtId="168" formatCode="#,##0.0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B4F"/>
      <name val="Arial"/>
      <family val="0"/>
      <charset val="1"/>
    </font>
    <font>
      <i val="true"/>
      <sz val="10"/>
      <color rgb="FF556168"/>
      <name val="Arial"/>
      <family val="0"/>
      <charset val="1"/>
    </font>
    <font>
      <sz val="10"/>
      <color rgb="FF1B2A32"/>
      <name val="Arial"/>
      <family val="0"/>
      <charset val="1"/>
    </font>
    <font>
      <b val="true"/>
      <sz val="10"/>
      <color rgb="FF123B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7A8C"/>
        <bgColor rgb="FF008080"/>
      </patternFill>
    </fill>
    <fill>
      <patternFill patternType="solid">
        <fgColor rgb="FFFFF6D5"/>
        <bgColor rgb="FFFFFFFF"/>
      </patternFill>
    </fill>
    <fill>
      <patternFill patternType="solid">
        <fgColor rgb="FF123B4F"/>
        <bgColor rgb="FF1B2A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8C"/>
      <rgbColor rgb="FFC4D0D6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168"/>
      <rgbColor rgb="FF969696"/>
      <rgbColor rgb="FF123B4F"/>
      <rgbColor rgb="FF339966"/>
      <rgbColor rgb="FF003300"/>
      <rgbColor rgb="FF333300"/>
      <rgbColor rgb="FF993300"/>
      <rgbColor rgb="FF993366"/>
      <rgbColor rgb="FF333399"/>
      <rgbColor rgb="FF1B2A3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5" min="3" style="0" width="15"/>
  </cols>
  <sheetData>
    <row r="2" customFormat="false" ht="18.55" hidden="false" customHeight="false" outlineLevel="0" collapsed="false">
      <c r="B2" s="5" t="s">
        <v>8</v>
      </c>
      <c r="C2" s="5"/>
      <c r="D2" s="5"/>
      <c r="E2" s="5"/>
    </row>
    <row r="3" customFormat="false" ht="15" hidden="false" customHeight="false" outlineLevel="0" collapsed="false">
      <c r="B3" s="6" t="s">
        <v>9</v>
      </c>
      <c r="C3" s="6"/>
      <c r="D3" s="6"/>
      <c r="E3" s="6"/>
    </row>
    <row r="4" customFormat="false" ht="15" hidden="false" customHeight="false" outlineLevel="0" collapsed="false">
      <c r="B4" s="7" t="s">
        <v>10</v>
      </c>
    </row>
    <row r="5" customFormat="false" ht="15" hidden="false" customHeight="false" outlineLevel="0" collapsed="false">
      <c r="B5" s="3" t="s">
        <v>11</v>
      </c>
      <c r="C5" s="8" t="n">
        <v>150</v>
      </c>
    </row>
    <row r="6" customFormat="false" ht="15" hidden="false" customHeight="false" outlineLevel="0" collapsed="false">
      <c r="B6" s="3" t="s">
        <v>12</v>
      </c>
      <c r="C6" s="8" t="n">
        <v>400</v>
      </c>
    </row>
    <row r="7" customFormat="false" ht="15" hidden="false" customHeight="false" outlineLevel="0" collapsed="false">
      <c r="B7" s="3" t="s">
        <v>13</v>
      </c>
      <c r="C7" s="8" t="n">
        <v>900</v>
      </c>
    </row>
    <row r="8" customFormat="false" ht="15" hidden="false" customHeight="false" outlineLevel="0" collapsed="false">
      <c r="B8" s="3" t="s">
        <v>14</v>
      </c>
      <c r="C8" s="9" t="n">
        <v>0.5</v>
      </c>
    </row>
    <row r="9" customFormat="false" ht="15" hidden="false" customHeight="false" outlineLevel="0" collapsed="false">
      <c r="B9" s="3" t="s">
        <v>15</v>
      </c>
      <c r="C9" s="9" t="n">
        <v>0.3</v>
      </c>
    </row>
    <row r="10" customFormat="false" ht="15" hidden="false" customHeight="false" outlineLevel="0" collapsed="false">
      <c r="B10" s="3" t="s">
        <v>16</v>
      </c>
      <c r="C10" s="9" t="n">
        <v>0.2</v>
      </c>
    </row>
    <row r="12" customFormat="false" ht="15" hidden="false" customHeight="false" outlineLevel="0" collapsed="false">
      <c r="B12" s="7" t="s">
        <v>17</v>
      </c>
    </row>
    <row r="13" customFormat="false" ht="15" hidden="false" customHeight="false" outlineLevel="0" collapsed="false">
      <c r="B13" s="3" t="s">
        <v>18</v>
      </c>
      <c r="C13" s="8" t="n">
        <v>20000000</v>
      </c>
    </row>
    <row r="14" customFormat="false" ht="15" hidden="false" customHeight="false" outlineLevel="0" collapsed="false">
      <c r="B14" s="3" t="s">
        <v>19</v>
      </c>
      <c r="C14" s="9" t="n">
        <v>0.008</v>
      </c>
    </row>
    <row r="15" customFormat="false" ht="15" hidden="false" customHeight="false" outlineLevel="0" collapsed="false">
      <c r="B15" s="3" t="s">
        <v>20</v>
      </c>
      <c r="C15" s="8" t="n">
        <v>2000000</v>
      </c>
    </row>
    <row r="16" customFormat="false" ht="15" hidden="false" customHeight="false" outlineLevel="0" collapsed="false">
      <c r="B16" s="3" t="s">
        <v>21</v>
      </c>
      <c r="C16" s="8" t="n">
        <v>20000</v>
      </c>
    </row>
    <row r="17" customFormat="false" ht="15" hidden="false" customHeight="false" outlineLevel="0" collapsed="false">
      <c r="B17" s="3" t="s">
        <v>22</v>
      </c>
      <c r="C17" s="8" t="n">
        <v>10000000</v>
      </c>
    </row>
    <row r="18" customFormat="false" ht="15" hidden="false" customHeight="false" outlineLevel="0" collapsed="false">
      <c r="B18" s="3" t="s">
        <v>23</v>
      </c>
      <c r="C18" s="10" t="n">
        <v>0.004</v>
      </c>
    </row>
    <row r="19" customFormat="false" ht="15" hidden="false" customHeight="false" outlineLevel="0" collapsed="false">
      <c r="B19" s="3" t="s">
        <v>24</v>
      </c>
      <c r="C19" s="9" t="n">
        <v>0.5</v>
      </c>
    </row>
    <row r="20" customFormat="false" ht="15" hidden="false" customHeight="false" outlineLevel="0" collapsed="false">
      <c r="B20" s="3" t="s">
        <v>25</v>
      </c>
      <c r="C20" s="8" t="n">
        <v>60000</v>
      </c>
    </row>
    <row r="21" customFormat="false" ht="15" hidden="false" customHeight="false" outlineLevel="0" collapsed="false">
      <c r="B21" s="3" t="s">
        <v>26</v>
      </c>
      <c r="C21" s="8" t="n">
        <v>25000</v>
      </c>
    </row>
    <row r="22" customFormat="false" ht="15" hidden="false" customHeight="false" outlineLevel="0" collapsed="false">
      <c r="B22" s="3" t="s">
        <v>27</v>
      </c>
      <c r="C22" s="8" t="n">
        <v>3000</v>
      </c>
    </row>
    <row r="24" customFormat="false" ht="15" hidden="false" customHeight="false" outlineLevel="0" collapsed="false">
      <c r="B24" s="7" t="s">
        <v>28</v>
      </c>
      <c r="C24" s="11" t="s">
        <v>29</v>
      </c>
      <c r="D24" s="11" t="s">
        <v>30</v>
      </c>
      <c r="E24" s="11" t="s">
        <v>31</v>
      </c>
    </row>
    <row r="25" customFormat="false" ht="15" hidden="false" customHeight="false" outlineLevel="0" collapsed="false">
      <c r="B25" s="3" t="s">
        <v>32</v>
      </c>
      <c r="C25" s="8" t="n">
        <v>3000000</v>
      </c>
      <c r="D25" s="8" t="n">
        <v>4500000</v>
      </c>
      <c r="E25" s="8" t="n">
        <v>6500000</v>
      </c>
    </row>
    <row r="26" customFormat="false" ht="15" hidden="false" customHeight="false" outlineLevel="0" collapsed="false">
      <c r="B26" s="3" t="s">
        <v>33</v>
      </c>
      <c r="C26" s="8" t="n">
        <v>5400000</v>
      </c>
      <c r="D26" s="8" t="n">
        <v>9000000</v>
      </c>
      <c r="E26" s="8" t="n">
        <v>15000000</v>
      </c>
    </row>
    <row r="27" customFormat="false" ht="15" hidden="false" customHeight="false" outlineLevel="0" collapsed="false">
      <c r="B27" s="3" t="s">
        <v>34</v>
      </c>
      <c r="C27" s="8" t="n">
        <v>1000000</v>
      </c>
      <c r="D27" s="8" t="n">
        <v>1500000</v>
      </c>
      <c r="E27" s="8" t="n">
        <v>2500000</v>
      </c>
    </row>
    <row r="28" customFormat="false" ht="15" hidden="false" customHeight="false" outlineLevel="0" collapsed="false">
      <c r="B28" s="3" t="s">
        <v>35</v>
      </c>
      <c r="C28" s="8" t="n">
        <v>3500000</v>
      </c>
      <c r="D28" s="8" t="n">
        <v>5000000</v>
      </c>
      <c r="E28" s="8" t="n">
        <v>7000000</v>
      </c>
    </row>
    <row r="29" customFormat="false" ht="15" hidden="false" customHeight="false" outlineLevel="0" collapsed="false">
      <c r="B29" s="3" t="s">
        <v>36</v>
      </c>
      <c r="C29" s="8" t="n">
        <v>1200000</v>
      </c>
      <c r="D29" s="8" t="n">
        <v>1600000</v>
      </c>
      <c r="E29" s="8" t="n">
        <v>2200000</v>
      </c>
    </row>
    <row r="30" customFormat="false" ht="15" hidden="false" customHeight="false" outlineLevel="0" collapsed="false">
      <c r="B30" s="3" t="s">
        <v>37</v>
      </c>
      <c r="C30" s="8" t="n">
        <v>1500000</v>
      </c>
      <c r="D30" s="8" t="n">
        <v>2200000</v>
      </c>
      <c r="E30" s="8" t="n">
        <v>3200000</v>
      </c>
    </row>
    <row r="31" customFormat="false" ht="15" hidden="false" customHeight="false" outlineLevel="0" collapsed="false">
      <c r="B31" s="4" t="s">
        <v>38</v>
      </c>
      <c r="C31" s="12" t="n">
        <f aca="false">SUM(C25:C30)</f>
        <v>15600000</v>
      </c>
      <c r="D31" s="12" t="n">
        <f aca="false">SUM(D25:D30)</f>
        <v>23800000</v>
      </c>
      <c r="E31" s="12" t="n">
        <f aca="false">SUM(E25:E30)</f>
        <v>36400000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6"/>
  </cols>
  <sheetData>
    <row r="4" customFormat="false" ht="15" hidden="false" customHeight="false" outlineLevel="0" collapsed="false">
      <c r="C4" s="11" t="s">
        <v>29</v>
      </c>
      <c r="D4" s="11" t="s">
        <v>30</v>
      </c>
      <c r="E4" s="11" t="s">
        <v>31</v>
      </c>
    </row>
    <row r="6" customFormat="false" ht="15" hidden="false" customHeight="false" outlineLevel="0" collapsed="false">
      <c r="B6" s="4" t="s">
        <v>39</v>
      </c>
      <c r="C6" s="12" t="n">
        <f aca="false">(Assumptions!C8*(MIN(Assumptions!C13*Assumptions!C14,Assumptions!C15)+Assumptions!C16+Assumptions!C17*Assumptions!C18*Assumptions!C19))+(Assumptions!C9*(Assumptions!C20+Assumptions!C16))+(Assumptions!C10*Assumptions!C21)</f>
        <v>129000</v>
      </c>
    </row>
    <row r="8" customFormat="false" ht="15" hidden="false" customHeight="false" outlineLevel="0" collapsed="false">
      <c r="B8" s="4" t="s">
        <v>40</v>
      </c>
      <c r="C8" s="12" t="n">
        <f aca="false">Assumptions!C5</f>
        <v>150</v>
      </c>
      <c r="D8" s="12" t="n">
        <f aca="false">Assumptions!C6</f>
        <v>400</v>
      </c>
      <c r="E8" s="12" t="n">
        <f aca="false">Assumptions!C7</f>
        <v>900</v>
      </c>
    </row>
    <row r="9" customFormat="false" ht="15" hidden="false" customHeight="false" outlineLevel="0" collapsed="false">
      <c r="B9" s="4" t="s">
        <v>41</v>
      </c>
      <c r="C9" s="12" t="n">
        <f aca="false">$C$6*C8</f>
        <v>19350000</v>
      </c>
      <c r="D9" s="12" t="n">
        <f aca="false">$C$6*D8</f>
        <v>51600000</v>
      </c>
      <c r="E9" s="12" t="n">
        <f aca="false">$C$6*E8</f>
        <v>116100000</v>
      </c>
    </row>
    <row r="11" customFormat="false" ht="15" hidden="false" customHeight="false" outlineLevel="0" collapsed="false">
      <c r="B11" s="3" t="s">
        <v>42</v>
      </c>
      <c r="C11" s="13" t="n">
        <f aca="false">-Assumptions!$C$22*C8</f>
        <v>-450000</v>
      </c>
      <c r="D11" s="13" t="n">
        <f aca="false">-Assumptions!$C$22*D8</f>
        <v>-1200000</v>
      </c>
      <c r="E11" s="13" t="n">
        <f aca="false">-Assumptions!$C$22*E8</f>
        <v>-2700000</v>
      </c>
    </row>
    <row r="12" customFormat="false" ht="15" hidden="false" customHeight="false" outlineLevel="0" collapsed="false">
      <c r="B12" s="4" t="s">
        <v>43</v>
      </c>
      <c r="C12" s="12" t="n">
        <f aca="false">C9+C11</f>
        <v>18900000</v>
      </c>
      <c r="D12" s="12" t="n">
        <f aca="false">D9+D11</f>
        <v>50400000</v>
      </c>
      <c r="E12" s="12" t="n">
        <f aca="false">E9+E11</f>
        <v>113400000</v>
      </c>
    </row>
    <row r="13" customFormat="false" ht="15" hidden="false" customHeight="false" outlineLevel="0" collapsed="false">
      <c r="B13" s="3" t="s">
        <v>44</v>
      </c>
      <c r="C13" s="14" t="n">
        <f aca="false">C12/C9</f>
        <v>0.976744186046512</v>
      </c>
      <c r="D13" s="14" t="n">
        <f aca="false">D12/D9</f>
        <v>0.976744186046512</v>
      </c>
      <c r="E13" s="14" t="n">
        <f aca="false">E12/E9</f>
        <v>0.976744186046512</v>
      </c>
    </row>
    <row r="15" customFormat="false" ht="15" hidden="false" customHeight="false" outlineLevel="0" collapsed="false">
      <c r="B15" s="3" t="s">
        <v>45</v>
      </c>
      <c r="C15" s="13" t="n">
        <f aca="false">-Assumptions!C31</f>
        <v>-15600000</v>
      </c>
      <c r="D15" s="13" t="n">
        <f aca="false">-Assumptions!D31</f>
        <v>-23800000</v>
      </c>
      <c r="E15" s="13" t="n">
        <f aca="false">-Assumptions!E31</f>
        <v>-36400000</v>
      </c>
    </row>
    <row r="16" customFormat="false" ht="15" hidden="false" customHeight="false" outlineLevel="0" collapsed="false">
      <c r="B16" s="4" t="s">
        <v>46</v>
      </c>
      <c r="C16" s="12" t="n">
        <f aca="false">C12+C15</f>
        <v>3300000</v>
      </c>
      <c r="D16" s="12" t="n">
        <f aca="false">D12+D15</f>
        <v>26600000</v>
      </c>
      <c r="E16" s="12" t="n">
        <f aca="false">E12+E15</f>
        <v>77000000</v>
      </c>
    </row>
    <row r="17" customFormat="false" ht="15" hidden="false" customHeight="false" outlineLevel="0" collapsed="false">
      <c r="B17" s="3" t="s">
        <v>47</v>
      </c>
      <c r="C17" s="14" t="n">
        <f aca="false">C16/C9</f>
        <v>0.170542635658915</v>
      </c>
      <c r="D17" s="14" t="n">
        <f aca="false">D16/D9</f>
        <v>0.515503875968992</v>
      </c>
      <c r="E17" s="14" t="n">
        <f aca="false">E16/E9</f>
        <v>0.66322136089578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6"/>
  </cols>
  <sheetData>
    <row r="2" customFormat="false" ht="18.55" hidden="false" customHeight="false" outlineLevel="0" collapsed="false">
      <c r="B2" s="5" t="s">
        <v>48</v>
      </c>
      <c r="C2" s="5"/>
      <c r="D2" s="5"/>
      <c r="E2" s="5"/>
    </row>
    <row r="3" customFormat="false" ht="15" hidden="false" customHeight="false" outlineLevel="0" collapsed="false">
      <c r="B3" s="6" t="s">
        <v>49</v>
      </c>
      <c r="C3" s="6"/>
      <c r="D3" s="6"/>
      <c r="E3" s="6"/>
    </row>
    <row r="5" customFormat="false" ht="15" hidden="false" customHeight="false" outlineLevel="0" collapsed="false">
      <c r="B5" s="4" t="s">
        <v>50</v>
      </c>
      <c r="C5" s="12" t="n">
        <f aca="false">PnL!C6</f>
        <v>129000</v>
      </c>
    </row>
    <row r="6" customFormat="false" ht="15" hidden="false" customHeight="false" outlineLevel="0" collapsed="false">
      <c r="B6" s="3" t="s">
        <v>51</v>
      </c>
      <c r="C6" s="13" t="n">
        <f aca="false">Assumptions!C22</f>
        <v>3000</v>
      </c>
    </row>
    <row r="7" customFormat="false" ht="15" hidden="false" customHeight="false" outlineLevel="0" collapsed="false">
      <c r="B7" s="4" t="s">
        <v>52</v>
      </c>
      <c r="C7" s="12" t="n">
        <f aca="false">C5-C6</f>
        <v>126000</v>
      </c>
    </row>
    <row r="8" customFormat="false" ht="15" hidden="false" customHeight="false" outlineLevel="0" collapsed="false">
      <c r="B8" s="3" t="s">
        <v>44</v>
      </c>
      <c r="C8" s="14" t="n">
        <f aca="false">C7/C5</f>
        <v>0.976744186046512</v>
      </c>
    </row>
    <row r="10" customFormat="false" ht="15" hidden="false" customHeight="false" outlineLevel="0" collapsed="false">
      <c r="B10" s="3" t="s">
        <v>53</v>
      </c>
      <c r="C10" s="13" t="n">
        <f aca="false">Assumptions!C31</f>
        <v>15600000</v>
      </c>
    </row>
    <row r="11" customFormat="false" ht="15" hidden="false" customHeight="false" outlineLevel="0" collapsed="false">
      <c r="B11" s="4" t="s">
        <v>54</v>
      </c>
      <c r="C11" s="15" t="n">
        <f aca="false">C10/C7</f>
        <v>123.809523809524</v>
      </c>
    </row>
    <row r="12" customFormat="false" ht="15" hidden="false" customHeight="false" outlineLevel="0" collapsed="false">
      <c r="B12" s="3" t="s">
        <v>55</v>
      </c>
      <c r="C12" s="13" t="n">
        <f aca="false">Assumptions!C5</f>
        <v>150</v>
      </c>
    </row>
    <row r="13" customFormat="false" ht="15" hidden="false" customHeight="false" outlineLevel="0" collapsed="false">
      <c r="B13" s="3" t="s">
        <v>56</v>
      </c>
      <c r="C13" s="16" t="n">
        <f aca="false">C12-C11</f>
        <v>26.1904761904762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6" min="4" style="0" width="16"/>
  </cols>
  <sheetData>
    <row r="4" customFormat="false" ht="15" hidden="false" customHeight="false" outlineLevel="0" collapsed="false">
      <c r="B4" s="17" t="s">
        <v>57</v>
      </c>
      <c r="C4" s="17" t="s">
        <v>58</v>
      </c>
      <c r="D4" s="17" t="s">
        <v>59</v>
      </c>
      <c r="E4" s="17" t="s">
        <v>60</v>
      </c>
      <c r="F4" s="17" t="s">
        <v>61</v>
      </c>
    </row>
    <row r="5" customFormat="false" ht="15" hidden="false" customHeight="false" outlineLevel="0" collapsed="false">
      <c r="B5" s="3" t="s">
        <v>62</v>
      </c>
      <c r="C5" s="18" t="n">
        <v>0.7</v>
      </c>
      <c r="D5" s="13" t="n">
        <f aca="false">UnitEconomics!$C$7*Assumptions!$C$5*$C5-Assumptions!$C$31</f>
        <v>-2370000</v>
      </c>
      <c r="E5" s="13" t="n">
        <f aca="false">UnitEconomics!$C$7*Assumptions!$C$6*$C5-Assumptions!$D$31</f>
        <v>11480000</v>
      </c>
      <c r="F5" s="13" t="n">
        <f aca="false">UnitEconomics!$C$7*Assumptions!$C$7*$C5-Assumptions!$E$31</f>
        <v>42980000</v>
      </c>
    </row>
    <row r="6" customFormat="false" ht="15" hidden="false" customHeight="false" outlineLevel="0" collapsed="false">
      <c r="B6" s="3" t="s">
        <v>63</v>
      </c>
      <c r="C6" s="18" t="n">
        <v>1</v>
      </c>
      <c r="D6" s="13" t="n">
        <f aca="false">UnitEconomics!$C$7*Assumptions!$C$5*$C6-Assumptions!$C$31</f>
        <v>3300000</v>
      </c>
      <c r="E6" s="13" t="n">
        <f aca="false">UnitEconomics!$C$7*Assumptions!$C$6*$C6-Assumptions!$D$31</f>
        <v>26600000</v>
      </c>
      <c r="F6" s="13" t="n">
        <f aca="false">UnitEconomics!$C$7*Assumptions!$C$7*$C6-Assumptions!$E$31</f>
        <v>77000000</v>
      </c>
    </row>
    <row r="7" customFormat="false" ht="15" hidden="false" customHeight="false" outlineLevel="0" collapsed="false">
      <c r="B7" s="3" t="s">
        <v>64</v>
      </c>
      <c r="C7" s="18" t="n">
        <v>1.3</v>
      </c>
      <c r="D7" s="13" t="n">
        <f aca="false">UnitEconomics!$C$7*Assumptions!$C$5*$C7-Assumptions!$C$31</f>
        <v>8970000</v>
      </c>
      <c r="E7" s="13" t="n">
        <f aca="false">UnitEconomics!$C$7*Assumptions!$C$6*$C7-Assumptions!$D$31</f>
        <v>41720000</v>
      </c>
      <c r="F7" s="13" t="n">
        <f aca="false">UnitEconomics!$C$7*Assumptions!$C$7*$C7-Assumptions!$E$31</f>
        <v>111020000</v>
      </c>
    </row>
    <row r="9" customFormat="false" ht="15" hidden="false" customHeight="false" outlineLevel="0" collapsed="false">
      <c r="B9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8D93B1-D6A4-4F0D-A332-238DA7683592}"/>
</file>

<file path=customXml/itemProps2.xml><?xml version="1.0" encoding="utf-8"?>
<ds:datastoreItem xmlns:ds="http://schemas.openxmlformats.org/officeDocument/2006/customXml" ds:itemID="{0784F10B-B9A2-4328-90EF-BE4E6BA6AB1E}"/>
</file>

<file path=customXml/itemProps3.xml><?xml version="1.0" encoding="utf-8"?>
<ds:datastoreItem xmlns:ds="http://schemas.openxmlformats.org/officeDocument/2006/customXml" ds:itemID="{4B65D605-200C-4D28-B94C-87F3B052700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2026-07-20T15:17:16Z</dcterms:created>
  <dcterms:modified xsi:type="dcterms:W3CDTF">2026-07-20T15:17:16Z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