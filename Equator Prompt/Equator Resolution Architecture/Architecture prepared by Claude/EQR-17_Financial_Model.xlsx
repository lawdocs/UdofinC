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. Read me" sheetId="1" state="visible" r:id="rId1"/>
    <sheet xmlns:r="http://schemas.openxmlformats.org/officeDocument/2006/relationships" name="1. Drivers" sheetId="2" state="visible" r:id="rId2"/>
    <sheet xmlns:r="http://schemas.openxmlformats.org/officeDocument/2006/relationships" name="2. Revenue" sheetId="3" state="visible" r:id="rId3"/>
    <sheet xmlns:r="http://schemas.openxmlformats.org/officeDocument/2006/relationships" name="3. Unit Economics" sheetId="4" state="visible" r:id="rId4"/>
    <sheet xmlns:r="http://schemas.openxmlformats.org/officeDocument/2006/relationships" name="4. Costs &amp; Headcount" sheetId="5" state="visible" r:id="rId5"/>
    <sheet xmlns:r="http://schemas.openxmlformats.org/officeDocument/2006/relationships" name="5. P&amp;L" sheetId="6" state="visible" r:id="rId6"/>
    <sheet xmlns:r="http://schemas.openxmlformats.org/officeDocument/2006/relationships" name="6. 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#,##0;(#,##0);&quot;-&quot;"/>
    <numFmt numFmtId="165" formatCode="₹#,##0;(₹#,##0);&quot;-&quot;"/>
    <numFmt numFmtId="166" formatCode="0.0%;(0.0%);&quot;-&quot;"/>
    <numFmt numFmtId="167" formatCode="0.0&quot;x&quot;"/>
    <numFmt numFmtId="168" formatCode="#,##0.0"/>
  </numFmts>
  <fonts count="11">
    <font>
      <name val="Calibri"/>
      <family val="2"/>
      <color theme="1"/>
      <sz val="11"/>
      <scheme val="minor"/>
    </font>
    <font>
      <name val="Arial"/>
      <b val="1"/>
      <color rgb="000B2E4F"/>
      <sz val="14"/>
    </font>
    <font>
      <name val="Arial"/>
      <i val="1"/>
      <color rgb="005A6B7B"/>
      <sz val="9"/>
    </font>
    <font>
      <name val="Arial"/>
      <b val="1"/>
      <color rgb="000B2E4F"/>
      <sz val="10.5"/>
    </font>
    <font>
      <name val="Arial"/>
      <sz val="10.5"/>
    </font>
    <font>
      <name val="Arial"/>
      <b val="1"/>
      <color rgb="00FFFFFF"/>
    </font>
    <font>
      <name val="Arial"/>
      <color rgb="00000000"/>
      <sz val="10.5"/>
    </font>
    <font>
      <name val="Arial"/>
      <color rgb="000000FF"/>
      <sz val="10.5"/>
    </font>
    <font>
      <name val="Arial"/>
      <color rgb="00008000"/>
      <sz val="10.5"/>
    </font>
    <font>
      <name val="Arial"/>
      <b val="1"/>
      <color rgb="00000000"/>
      <sz val="10.5"/>
    </font>
    <font>
      <name val="Arial"/>
      <b val="1"/>
      <color rgb="00008000"/>
      <sz val="10.5"/>
    </font>
  </fonts>
  <fills count="4">
    <fill>
      <patternFill/>
    </fill>
    <fill>
      <patternFill patternType="gray125"/>
    </fill>
    <fill>
      <patternFill patternType="solid">
        <fgColor rgb="000B2E4F"/>
      </patternFill>
    </fill>
    <fill>
      <patternFill patternType="solid">
        <fgColor rgb="00EAF1F6"/>
      </patternFill>
    </fill>
  </fills>
  <borders count="2">
    <border>
      <left/>
      <right/>
      <top/>
      <bottom/>
      <diagonal/>
    </border>
    <border>
      <left style="thin">
        <color rgb="00C9D3DC"/>
      </left>
      <right style="thin">
        <color rgb="00C9D3DC"/>
      </right>
      <top style="thin">
        <color rgb="00C9D3DC"/>
      </top>
      <bottom style="thin">
        <color rgb="00C9D3DC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pivotButton="0" quotePrefix="0" xfId="0"/>
    <xf numFmtId="0" fontId="5" fillId="2" borderId="1" applyAlignment="1" pivotButton="0" quotePrefix="0" xfId="0">
      <alignment horizontal="right"/>
    </xf>
    <xf numFmtId="0" fontId="3" fillId="3" borderId="1" pivotButton="0" quotePrefix="0" xfId="0"/>
    <xf numFmtId="164" fontId="6" fillId="3" borderId="1" pivotButton="0" quotePrefix="0" xfId="0"/>
    <xf numFmtId="0" fontId="6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6" fontId="7" fillId="0" borderId="1" pivotButton="0" quotePrefix="0" xfId="0"/>
    <xf numFmtId="164" fontId="8" fillId="0" borderId="1" pivotButton="0" quotePrefix="0" xfId="0"/>
    <xf numFmtId="0" fontId="9" fillId="0" borderId="1" pivotButton="0" quotePrefix="0" xfId="0"/>
    <xf numFmtId="164" fontId="9" fillId="0" borderId="1" pivotButton="0" quotePrefix="0" xfId="0"/>
    <xf numFmtId="0" fontId="9" fillId="3" borderId="1" pivotButton="0" quotePrefix="0" xfId="0"/>
    <xf numFmtId="164" fontId="9" fillId="3" borderId="1" pivotButton="0" quotePrefix="0" xfId="0"/>
    <xf numFmtId="166" fontId="6" fillId="0" borderId="1" pivotButton="0" quotePrefix="0" xfId="0"/>
    <xf numFmtId="165" fontId="6" fillId="0" borderId="1" pivotButton="0" quotePrefix="0" xfId="0"/>
    <xf numFmtId="165" fontId="8" fillId="0" borderId="1" pivotButton="0" quotePrefix="0" xfId="0"/>
    <xf numFmtId="164" fontId="6" fillId="0" borderId="1" pivotButton="0" quotePrefix="0" xfId="0"/>
    <xf numFmtId="167" fontId="6" fillId="0" borderId="1" pivotButton="0" quotePrefix="0" xfId="0"/>
    <xf numFmtId="164" fontId="10" fillId="0" borderId="1" pivotButton="0" quotePrefix="0" xfId="0"/>
    <xf numFmtId="166" fontId="8" fillId="0" borderId="1" pivotButton="0" quotePrefix="0" xfId="0"/>
    <xf numFmtId="167" fontId="8" fillId="0" borderId="1" pivotButton="0" quotePrefix="0" xfId="0"/>
    <xf numFmtId="168" fontId="9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6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EQUATOR RESOLUTION — Financial Model (EQR-17)</t>
        </is>
      </c>
    </row>
    <row r="2">
      <c r="A2" s="2" t="inlineStr">
        <is>
          <t>Driver-based 5-year model · v2.0 · 8 July 2026 · Confidential · Units in ₹ lakh unless noted (1 lakh = ₹100,000).</t>
        </is>
      </c>
    </row>
    <row r="4">
      <c r="A4" s="3" t="inlineStr">
        <is>
          <t>Purpose</t>
        </is>
      </c>
      <c r="B4" s="4" t="inlineStr">
        <is>
          <t>Illustrative driver-based model for the Equator Resolution platform across its six lines of business.</t>
        </is>
      </c>
    </row>
    <row r="5">
      <c r="A5" s="3" t="inlineStr">
        <is>
          <t>How to use</t>
        </is>
      </c>
      <c r="B5" s="4" t="inlineStr">
        <is>
          <t>Change only the BLUE inputs on ‘1. Drivers'. All other sheets are BLACK formulas that recalculate.</t>
        </is>
      </c>
    </row>
    <row r="6">
      <c r="A6" s="3" t="inlineStr">
        <is>
          <t>Colour key</t>
        </is>
      </c>
      <c r="B6" s="4" t="inlineStr">
        <is>
          <t>Blue = input you can change · Black = formula · Green = cross-sheet link.</t>
        </is>
      </c>
    </row>
    <row r="7">
      <c r="A7" s="3" t="inlineStr">
        <is>
          <t>Units</t>
        </is>
      </c>
      <c r="B7" s="4" t="inlineStr">
        <is>
          <t>₹ lakh unless a row says otherwise (counts, ₹ per unit, or %).</t>
        </is>
      </c>
    </row>
    <row r="8">
      <c r="A8" s="3" t="inlineStr">
        <is>
          <t>Caveat</t>
        </is>
      </c>
      <c r="B8" s="4" t="inlineStr">
        <is>
          <t>Assumptions are indicative and NOT a forecast or projection of actual results; re-verify before external use.</t>
        </is>
      </c>
    </row>
    <row r="9">
      <c r="A9" s="3" t="inlineStr">
        <is>
          <t>Sheets</t>
        </is>
      </c>
      <c r="B9" s="4" t="inlineStr">
        <is>
          <t>1 Drivers · 2 Revenue · 3 Unit Economics · 4 Costs &amp; Headcount · 5 P&amp;L · 6 Summary.</t>
        </is>
      </c>
    </row>
  </sheetData>
  <mergeCells count="6">
    <mergeCell ref="B4:F4"/>
    <mergeCell ref="B7:F7"/>
    <mergeCell ref="B6:F6"/>
    <mergeCell ref="B5:F5"/>
    <mergeCell ref="B8:F8"/>
    <mergeCell ref="B9:F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s="1" t="inlineStr">
        <is>
          <t>1 · Drivers (inputs)</t>
        </is>
      </c>
    </row>
    <row r="2">
      <c r="A2" s="2" t="inlineStr">
        <is>
          <t>Change the BLUE cells. Units noted per row.</t>
        </is>
      </c>
    </row>
    <row r="3">
      <c r="A3" s="5" t="inlineStr">
        <is>
          <t>Line item</t>
        </is>
      </c>
      <c r="B3" s="6" t="inlineStr">
        <is>
          <t>FY27</t>
        </is>
      </c>
      <c r="C3" s="6" t="inlineStr">
        <is>
          <t>FY28</t>
        </is>
      </c>
      <c r="D3" s="6" t="inlineStr">
        <is>
          <t>FY29</t>
        </is>
      </c>
      <c r="E3" s="6" t="inlineStr">
        <is>
          <t>FY30</t>
        </is>
      </c>
      <c r="F3" s="6" t="inlineStr">
        <is>
          <t>FY31</t>
        </is>
      </c>
    </row>
    <row r="5">
      <c r="A5" s="7" t="inlineStr">
        <is>
          <t>VOLUME — cases resolved (units)</t>
        </is>
      </c>
      <c r="B5" s="8" t="n"/>
      <c r="C5" s="8" t="n"/>
      <c r="D5" s="8" t="n"/>
      <c r="E5" s="8" t="n"/>
      <c r="F5" s="8" t="n"/>
    </row>
    <row r="6">
      <c r="A6" s="9" t="inlineStr">
        <is>
          <t>NBFC / lending</t>
        </is>
      </c>
      <c r="B6" s="10" t="n">
        <v>5000</v>
      </c>
      <c r="C6" s="10" t="n">
        <v>25000</v>
      </c>
      <c r="D6" s="10" t="n">
        <v>80000</v>
      </c>
      <c r="E6" s="10" t="n">
        <v>180000</v>
      </c>
      <c r="F6" s="10" t="n">
        <v>320000</v>
      </c>
    </row>
    <row r="7">
      <c r="A7" s="9" t="inlineStr">
        <is>
          <t>Commercial / MSME</t>
        </is>
      </c>
      <c r="B7" s="10" t="n">
        <v>300</v>
      </c>
      <c r="C7" s="10" t="n">
        <v>1200</v>
      </c>
      <c r="D7" s="10" t="n">
        <v>3500</v>
      </c>
      <c r="E7" s="10" t="n">
        <v>7000</v>
      </c>
      <c r="F7" s="10" t="n">
        <v>12000</v>
      </c>
    </row>
    <row r="8">
      <c r="A8" s="9" t="inlineStr">
        <is>
          <t>Family / matrimonial</t>
        </is>
      </c>
      <c r="B8" s="10" t="n">
        <v>200</v>
      </c>
      <c r="C8" s="10" t="n">
        <v>900</v>
      </c>
      <c r="D8" s="10" t="n">
        <v>2500</v>
      </c>
      <c r="E8" s="10" t="n">
        <v>5000</v>
      </c>
      <c r="F8" s="10" t="n">
        <v>8500</v>
      </c>
    </row>
    <row r="9">
      <c r="A9" s="9" t="inlineStr">
        <is>
          <t>Consumer</t>
        </is>
      </c>
      <c r="B9" s="10" t="n">
        <v>500</v>
      </c>
      <c r="C9" s="10" t="n">
        <v>3000</v>
      </c>
      <c r="D9" s="10" t="n">
        <v>12000</v>
      </c>
      <c r="E9" s="10" t="n">
        <v>30000</v>
      </c>
      <c r="F9" s="10" t="n">
        <v>60000</v>
      </c>
    </row>
    <row r="10">
      <c r="A10" s="9" t="inlineStr">
        <is>
          <t>Securities (SEBI)</t>
        </is>
      </c>
      <c r="B10" s="10" t="n">
        <v>100</v>
      </c>
      <c r="C10" s="10" t="n">
        <v>600</v>
      </c>
      <c r="D10" s="10" t="n">
        <v>2000</v>
      </c>
      <c r="E10" s="10" t="n">
        <v>4500</v>
      </c>
      <c r="F10" s="10" t="n">
        <v>8000</v>
      </c>
    </row>
    <row r="11">
      <c r="A11" s="9" t="inlineStr">
        <is>
          <t>International</t>
        </is>
      </c>
      <c r="B11" s="10" t="n">
        <v>20</v>
      </c>
      <c r="C11" s="10" t="n">
        <v>120</v>
      </c>
      <c r="D11" s="10" t="n">
        <v>400</v>
      </c>
      <c r="E11" s="10" t="n">
        <v>900</v>
      </c>
      <c r="F11" s="10" t="n">
        <v>1600</v>
      </c>
    </row>
    <row r="13">
      <c r="A13" s="7" t="inlineStr">
        <is>
          <t>PRICE — avg realised revenue per case (₹)</t>
        </is>
      </c>
      <c r="B13" s="8" t="n"/>
      <c r="C13" s="8" t="n"/>
      <c r="D13" s="8" t="n"/>
      <c r="E13" s="8" t="n"/>
      <c r="F13" s="8" t="n"/>
    </row>
    <row r="14">
      <c r="A14" s="9" t="inlineStr">
        <is>
          <t>NBFC / lending</t>
        </is>
      </c>
      <c r="B14" s="11" t="n">
        <v>1200</v>
      </c>
      <c r="C14" s="11" t="n">
        <v>1200</v>
      </c>
      <c r="D14" s="11" t="n">
        <v>1150</v>
      </c>
      <c r="E14" s="11" t="n">
        <v>1100</v>
      </c>
      <c r="F14" s="11" t="n">
        <v>1050</v>
      </c>
    </row>
    <row r="15">
      <c r="A15" s="9" t="inlineStr">
        <is>
          <t>Commercial / MSME</t>
        </is>
      </c>
      <c r="B15" s="11" t="n">
        <v>18000</v>
      </c>
      <c r="C15" s="11" t="n">
        <v>17500</v>
      </c>
      <c r="D15" s="11" t="n">
        <v>17000</v>
      </c>
      <c r="E15" s="11" t="n">
        <v>16500</v>
      </c>
      <c r="F15" s="11" t="n">
        <v>16000</v>
      </c>
    </row>
    <row r="16">
      <c r="A16" s="9" t="inlineStr">
        <is>
          <t>Family / matrimonial</t>
        </is>
      </c>
      <c r="B16" s="11" t="n">
        <v>12000</v>
      </c>
      <c r="C16" s="11" t="n">
        <v>11500</v>
      </c>
      <c r="D16" s="11" t="n">
        <v>11000</v>
      </c>
      <c r="E16" s="11" t="n">
        <v>11000</v>
      </c>
      <c r="F16" s="11" t="n">
        <v>11000</v>
      </c>
    </row>
    <row r="17">
      <c r="A17" s="9" t="inlineStr">
        <is>
          <t>Consumer</t>
        </is>
      </c>
      <c r="B17" s="11" t="n">
        <v>900</v>
      </c>
      <c r="C17" s="11" t="n">
        <v>900</v>
      </c>
      <c r="D17" s="11" t="n">
        <v>850</v>
      </c>
      <c r="E17" s="11" t="n">
        <v>800</v>
      </c>
      <c r="F17" s="11" t="n">
        <v>800</v>
      </c>
    </row>
    <row r="18">
      <c r="A18" s="9" t="inlineStr">
        <is>
          <t>Securities (SEBI)</t>
        </is>
      </c>
      <c r="B18" s="11" t="n">
        <v>9000</v>
      </c>
      <c r="C18" s="11" t="n">
        <v>9000</v>
      </c>
      <c r="D18" s="11" t="n">
        <v>8800</v>
      </c>
      <c r="E18" s="11" t="n">
        <v>8600</v>
      </c>
      <c r="F18" s="11" t="n">
        <v>8500</v>
      </c>
    </row>
    <row r="19">
      <c r="A19" s="9" t="inlineStr">
        <is>
          <t>International</t>
        </is>
      </c>
      <c r="B19" s="11" t="n">
        <v>150000</v>
      </c>
      <c r="C19" s="11" t="n">
        <v>150000</v>
      </c>
      <c r="D19" s="11" t="n">
        <v>145000</v>
      </c>
      <c r="E19" s="11" t="n">
        <v>140000</v>
      </c>
      <c r="F19" s="11" t="n">
        <v>140000</v>
      </c>
    </row>
    <row r="21">
      <c r="A21" s="7" t="inlineStr">
        <is>
          <t>RECURRING &amp; OTHER LOBs</t>
        </is>
      </c>
      <c r="B21" s="8" t="n"/>
      <c r="C21" s="8" t="n"/>
      <c r="D21" s="8" t="n"/>
      <c r="E21" s="8" t="n"/>
      <c r="F21" s="8" t="n"/>
    </row>
    <row r="22">
      <c r="A22" s="9" t="inlineStr">
        <is>
          <t>Private Court tenants (count)</t>
        </is>
      </c>
      <c r="B22" s="10" t="n">
        <v>20</v>
      </c>
      <c r="C22" s="10" t="n">
        <v>80</v>
      </c>
      <c r="D22" s="10" t="n">
        <v>220</v>
      </c>
      <c r="E22" s="10" t="n">
        <v>450</v>
      </c>
      <c r="F22" s="10" t="n">
        <v>800</v>
      </c>
    </row>
    <row r="23">
      <c r="A23" s="9" t="inlineStr">
        <is>
          <t>Private Court ARPU (₹/yr)</t>
        </is>
      </c>
      <c r="B23" s="11" t="n">
        <v>60000</v>
      </c>
      <c r="C23" s="11" t="n">
        <v>60000</v>
      </c>
      <c r="D23" s="11" t="n">
        <v>60000</v>
      </c>
      <c r="E23" s="11" t="n">
        <v>60000</v>
      </c>
      <c r="F23" s="11" t="n">
        <v>60000</v>
      </c>
    </row>
    <row r="24">
      <c r="A24" s="9" t="inlineStr">
        <is>
          <t>Enterprise/API contracts (count)</t>
        </is>
      </c>
      <c r="B24" s="10" t="n">
        <v>3</v>
      </c>
      <c r="C24" s="10" t="n">
        <v>12</v>
      </c>
      <c r="D24" s="10" t="n">
        <v>30</v>
      </c>
      <c r="E24" s="10" t="n">
        <v>60</v>
      </c>
      <c r="F24" s="10" t="n">
        <v>110</v>
      </c>
    </row>
    <row r="25">
      <c r="A25" s="9" t="inlineStr">
        <is>
          <t>Enterprise ACV (₹/yr)</t>
        </is>
      </c>
      <c r="B25" s="11" t="n">
        <v>800000</v>
      </c>
      <c r="C25" s="11" t="n">
        <v>900000</v>
      </c>
      <c r="D25" s="11" t="n">
        <v>1000000</v>
      </c>
      <c r="E25" s="11" t="n">
        <v>1100000</v>
      </c>
      <c r="F25" s="11" t="n">
        <v>1200000</v>
      </c>
    </row>
    <row r="26">
      <c r="A26" s="9" t="inlineStr">
        <is>
          <t>Academy enrolments (units)</t>
        </is>
      </c>
      <c r="B26" s="10" t="n">
        <v>300</v>
      </c>
      <c r="C26" s="10" t="n">
        <v>900</v>
      </c>
      <c r="D26" s="10" t="n">
        <v>2000</v>
      </c>
      <c r="E26" s="10" t="n">
        <v>3500</v>
      </c>
      <c r="F26" s="10" t="n">
        <v>5500</v>
      </c>
    </row>
    <row r="27">
      <c r="A27" s="9" t="inlineStr">
        <is>
          <t>Academy fee (₹)</t>
        </is>
      </c>
      <c r="B27" s="11" t="n">
        <v>25000</v>
      </c>
      <c r="C27" s="11" t="n">
        <v>25000</v>
      </c>
      <c r="D27" s="11" t="n">
        <v>26000</v>
      </c>
      <c r="E27" s="11" t="n">
        <v>27000</v>
      </c>
      <c r="F27" s="11" t="n">
        <v>28000</v>
      </c>
    </row>
    <row r="28">
      <c r="A28" s="9" t="inlineStr">
        <is>
          <t>Grievance/POSH seats (count)</t>
        </is>
      </c>
      <c r="B28" s="10" t="n">
        <v>2000</v>
      </c>
      <c r="C28" s="10" t="n">
        <v>8000</v>
      </c>
      <c r="D28" s="10" t="n">
        <v>25000</v>
      </c>
      <c r="E28" s="10" t="n">
        <v>60000</v>
      </c>
      <c r="F28" s="10" t="n">
        <v>120000</v>
      </c>
    </row>
    <row r="29">
      <c r="A29" s="9" t="inlineStr">
        <is>
          <t>Grievance ARPU (₹/seat/yr)</t>
        </is>
      </c>
      <c r="B29" s="11" t="n">
        <v>300</v>
      </c>
      <c r="C29" s="11" t="n">
        <v>300</v>
      </c>
      <c r="D29" s="11" t="n">
        <v>300</v>
      </c>
      <c r="E29" s="11" t="n">
        <v>300</v>
      </c>
      <c r="F29" s="11" t="n">
        <v>300</v>
      </c>
    </row>
    <row r="31">
      <c r="A31" s="7" t="inlineStr">
        <is>
          <t>ECONOMICS (%)</t>
        </is>
      </c>
      <c r="B31" s="8" t="n"/>
      <c r="C31" s="8" t="n"/>
      <c r="D31" s="8" t="n"/>
      <c r="E31" s="8" t="n"/>
      <c r="F31" s="8" t="n"/>
    </row>
    <row r="32">
      <c r="A32" s="9" t="inlineStr">
        <is>
          <t>Neutral payout (% of case revenue)</t>
        </is>
      </c>
      <c r="B32" s="12" t="n">
        <v>0.55</v>
      </c>
      <c r="C32" s="12" t="n">
        <v>0.55</v>
      </c>
      <c r="D32" s="12" t="n">
        <v>0.54</v>
      </c>
      <c r="E32" s="12" t="n">
        <v>0.53</v>
      </c>
      <c r="F32" s="12" t="n">
        <v>0.52</v>
      </c>
    </row>
    <row r="33">
      <c r="A33" s="9" t="inlineStr">
        <is>
          <t>Payment processing (% of revenue)</t>
        </is>
      </c>
      <c r="B33" s="12" t="n">
        <v>0.02</v>
      </c>
      <c r="C33" s="12" t="n">
        <v>0.02</v>
      </c>
      <c r="D33" s="12" t="n">
        <v>0.02</v>
      </c>
      <c r="E33" s="12" t="n">
        <v>0.02</v>
      </c>
      <c r="F33" s="12" t="n">
        <v>0.02</v>
      </c>
    </row>
    <row r="34">
      <c r="A34" s="9" t="inlineStr">
        <is>
          <t>Sales &amp; marketing (% of revenue)</t>
        </is>
      </c>
      <c r="B34" s="12" t="n">
        <v>0.45</v>
      </c>
      <c r="C34" s="12" t="n">
        <v>0.4</v>
      </c>
      <c r="D34" s="12" t="n">
        <v>0.35</v>
      </c>
      <c r="E34" s="12" t="n">
        <v>0.3</v>
      </c>
      <c r="F34" s="12" t="n">
        <v>0.28</v>
      </c>
    </row>
    <row r="36">
      <c r="A36" s="7" t="inlineStr">
        <is>
          <t>HEADCOUNT (count) &amp; COST</t>
        </is>
      </c>
      <c r="B36" s="8" t="n"/>
      <c r="C36" s="8" t="n"/>
      <c r="D36" s="8" t="n"/>
      <c r="E36" s="8" t="n"/>
      <c r="F36" s="8" t="n"/>
    </row>
    <row r="37">
      <c r="A37" s="9" t="inlineStr">
        <is>
          <t>Engineering &amp; Product</t>
        </is>
      </c>
      <c r="B37" s="10" t="n">
        <v>8</v>
      </c>
      <c r="C37" s="10" t="n">
        <v>18</v>
      </c>
      <c r="D37" s="10" t="n">
        <v>35</v>
      </c>
      <c r="E37" s="10" t="n">
        <v>55</v>
      </c>
      <c r="F37" s="10" t="n">
        <v>80</v>
      </c>
    </row>
    <row r="38">
      <c r="A38" s="9" t="inlineStr">
        <is>
          <t>Legal &amp; Case-ops</t>
        </is>
      </c>
      <c r="B38" s="10" t="n">
        <v>4</v>
      </c>
      <c r="C38" s="10" t="n">
        <v>12</v>
      </c>
      <c r="D38" s="10" t="n">
        <v>30</v>
      </c>
      <c r="E38" s="10" t="n">
        <v>60</v>
      </c>
      <c r="F38" s="10" t="n">
        <v>110</v>
      </c>
    </row>
    <row r="39">
      <c r="A39" s="9" t="inlineStr">
        <is>
          <t>Sales &amp; Marketing</t>
        </is>
      </c>
      <c r="B39" s="10" t="n">
        <v>3</v>
      </c>
      <c r="C39" s="10" t="n">
        <v>8</v>
      </c>
      <c r="D39" s="10" t="n">
        <v>18</v>
      </c>
      <c r="E39" s="10" t="n">
        <v>30</v>
      </c>
      <c r="F39" s="10" t="n">
        <v>45</v>
      </c>
    </row>
    <row r="40">
      <c r="A40" s="9" t="inlineStr">
        <is>
          <t>G&amp;A</t>
        </is>
      </c>
      <c r="B40" s="10" t="n">
        <v>3</v>
      </c>
      <c r="C40" s="10" t="n">
        <v>6</v>
      </c>
      <c r="D40" s="10" t="n">
        <v>12</v>
      </c>
      <c r="E40" s="10" t="n">
        <v>20</v>
      </c>
      <c r="F40" s="10" t="n">
        <v>30</v>
      </c>
    </row>
    <row r="41">
      <c r="A41" s="9" t="inlineStr">
        <is>
          <t>Avg fully-loaded cost/head (₹ lakh/yr)</t>
        </is>
      </c>
      <c r="B41" s="10" t="n">
        <v>18</v>
      </c>
      <c r="C41" s="10" t="n">
        <v>19</v>
      </c>
      <c r="D41" s="10" t="n">
        <v>20</v>
      </c>
      <c r="E41" s="10" t="n">
        <v>21</v>
      </c>
      <c r="F41" s="10" t="n">
        <v>22</v>
      </c>
    </row>
    <row r="42">
      <c r="A42" s="9" t="inlineStr">
        <is>
          <t>Tech &amp; infrastructure (₹ lakh/yr)</t>
        </is>
      </c>
      <c r="B42" s="10" t="n">
        <v>40</v>
      </c>
      <c r="C42" s="10" t="n">
        <v>120</v>
      </c>
      <c r="D42" s="10" t="n">
        <v>300</v>
      </c>
      <c r="E42" s="10" t="n">
        <v>600</v>
      </c>
      <c r="F42" s="10" t="n">
        <v>1000</v>
      </c>
    </row>
    <row r="43">
      <c r="A43" s="9" t="inlineStr">
        <is>
          <t>Other G&amp;A (₹ lakh/yr)</t>
        </is>
      </c>
      <c r="B43" s="10" t="n">
        <v>30</v>
      </c>
      <c r="C43" s="10" t="n">
        <v>60</v>
      </c>
      <c r="D43" s="10" t="n">
        <v>120</v>
      </c>
      <c r="E43" s="10" t="n">
        <v>220</v>
      </c>
      <c r="F43" s="10" t="n">
        <v>360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s="1" t="inlineStr">
        <is>
          <t>2 · Revenue (₹ lakh)</t>
        </is>
      </c>
    </row>
    <row r="2">
      <c r="A2" s="2" t="inlineStr">
        <is>
          <t>Case revenue = cases × avg ₹ / 100,000. Recurring LOBs added below.</t>
        </is>
      </c>
    </row>
    <row r="3">
      <c r="A3" s="5" t="inlineStr">
        <is>
          <t>Line item</t>
        </is>
      </c>
      <c r="B3" s="6" t="inlineStr">
        <is>
          <t>FY27</t>
        </is>
      </c>
      <c r="C3" s="6" t="inlineStr">
        <is>
          <t>FY28</t>
        </is>
      </c>
      <c r="D3" s="6" t="inlineStr">
        <is>
          <t>FY29</t>
        </is>
      </c>
      <c r="E3" s="6" t="inlineStr">
        <is>
          <t>FY30</t>
        </is>
      </c>
      <c r="F3" s="6" t="inlineStr">
        <is>
          <t>FY31</t>
        </is>
      </c>
    </row>
    <row r="5">
      <c r="A5" s="7" t="inlineStr">
        <is>
          <t>Case revenue by LOB</t>
        </is>
      </c>
      <c r="B5" s="8" t="n"/>
      <c r="C5" s="8" t="n"/>
      <c r="D5" s="8" t="n"/>
      <c r="E5" s="8" t="n"/>
      <c r="F5" s="8" t="n"/>
    </row>
    <row r="6">
      <c r="A6" s="9" t="inlineStr">
        <is>
          <t>NBFC / lending</t>
        </is>
      </c>
      <c r="B6" s="13">
        <f>'1. Drivers'!B6*'1. Drivers'!B14/100000</f>
        <v/>
      </c>
      <c r="C6" s="13">
        <f>'1. Drivers'!C6*'1. Drivers'!C14/100000</f>
        <v/>
      </c>
      <c r="D6" s="13">
        <f>'1. Drivers'!D6*'1. Drivers'!D14/100000</f>
        <v/>
      </c>
      <c r="E6" s="13">
        <f>'1. Drivers'!E6*'1. Drivers'!E14/100000</f>
        <v/>
      </c>
      <c r="F6" s="13">
        <f>'1. Drivers'!F6*'1. Drivers'!F14/100000</f>
        <v/>
      </c>
    </row>
    <row r="7">
      <c r="A7" s="9" t="inlineStr">
        <is>
          <t>Commercial / MSME</t>
        </is>
      </c>
      <c r="B7" s="13">
        <f>'1. Drivers'!B7*'1. Drivers'!B15/100000</f>
        <v/>
      </c>
      <c r="C7" s="13">
        <f>'1. Drivers'!C7*'1. Drivers'!C15/100000</f>
        <v/>
      </c>
      <c r="D7" s="13">
        <f>'1. Drivers'!D7*'1. Drivers'!D15/100000</f>
        <v/>
      </c>
      <c r="E7" s="13">
        <f>'1. Drivers'!E7*'1. Drivers'!E15/100000</f>
        <v/>
      </c>
      <c r="F7" s="13">
        <f>'1. Drivers'!F7*'1. Drivers'!F15/100000</f>
        <v/>
      </c>
    </row>
    <row r="8">
      <c r="A8" s="9" t="inlineStr">
        <is>
          <t>Family / matrimonial</t>
        </is>
      </c>
      <c r="B8" s="13">
        <f>'1. Drivers'!B8*'1. Drivers'!B16/100000</f>
        <v/>
      </c>
      <c r="C8" s="13">
        <f>'1. Drivers'!C8*'1. Drivers'!C16/100000</f>
        <v/>
      </c>
      <c r="D8" s="13">
        <f>'1. Drivers'!D8*'1. Drivers'!D16/100000</f>
        <v/>
      </c>
      <c r="E8" s="13">
        <f>'1. Drivers'!E8*'1. Drivers'!E16/100000</f>
        <v/>
      </c>
      <c r="F8" s="13">
        <f>'1. Drivers'!F8*'1. Drivers'!F16/100000</f>
        <v/>
      </c>
    </row>
    <row r="9">
      <c r="A9" s="9" t="inlineStr">
        <is>
          <t>Consumer</t>
        </is>
      </c>
      <c r="B9" s="13">
        <f>'1. Drivers'!B9*'1. Drivers'!B17/100000</f>
        <v/>
      </c>
      <c r="C9" s="13">
        <f>'1. Drivers'!C9*'1. Drivers'!C17/100000</f>
        <v/>
      </c>
      <c r="D9" s="13">
        <f>'1. Drivers'!D9*'1. Drivers'!D17/100000</f>
        <v/>
      </c>
      <c r="E9" s="13">
        <f>'1. Drivers'!E9*'1. Drivers'!E17/100000</f>
        <v/>
      </c>
      <c r="F9" s="13">
        <f>'1. Drivers'!F9*'1. Drivers'!F17/100000</f>
        <v/>
      </c>
    </row>
    <row r="10">
      <c r="A10" s="9" t="inlineStr">
        <is>
          <t>Securities (SEBI)</t>
        </is>
      </c>
      <c r="B10" s="13">
        <f>'1. Drivers'!B10*'1. Drivers'!B18/100000</f>
        <v/>
      </c>
      <c r="C10" s="13">
        <f>'1. Drivers'!C10*'1. Drivers'!C18/100000</f>
        <v/>
      </c>
      <c r="D10" s="13">
        <f>'1. Drivers'!D10*'1. Drivers'!D18/100000</f>
        <v/>
      </c>
      <c r="E10" s="13">
        <f>'1. Drivers'!E10*'1. Drivers'!E18/100000</f>
        <v/>
      </c>
      <c r="F10" s="13">
        <f>'1. Drivers'!F10*'1. Drivers'!F18/100000</f>
        <v/>
      </c>
    </row>
    <row r="11">
      <c r="A11" s="9" t="inlineStr">
        <is>
          <t>International</t>
        </is>
      </c>
      <c r="B11" s="13">
        <f>'1. Drivers'!B11*'1. Drivers'!B19/100000</f>
        <v/>
      </c>
      <c r="C11" s="13">
        <f>'1. Drivers'!C11*'1. Drivers'!C19/100000</f>
        <v/>
      </c>
      <c r="D11" s="13">
        <f>'1. Drivers'!D11*'1. Drivers'!D19/100000</f>
        <v/>
      </c>
      <c r="E11" s="13">
        <f>'1. Drivers'!E11*'1. Drivers'!E19/100000</f>
        <v/>
      </c>
      <c r="F11" s="13">
        <f>'1. Drivers'!F11*'1. Drivers'!F19/100000</f>
        <v/>
      </c>
    </row>
    <row r="12">
      <c r="A12" s="14" t="inlineStr">
        <is>
          <t>Total case revenue</t>
        </is>
      </c>
      <c r="B12" s="15">
        <f>SUM(B6:B11)</f>
        <v/>
      </c>
      <c r="C12" s="15">
        <f>SUM(C6:C11)</f>
        <v/>
      </c>
      <c r="D12" s="15">
        <f>SUM(D6:D11)</f>
        <v/>
      </c>
      <c r="E12" s="15">
        <f>SUM(E6:E11)</f>
        <v/>
      </c>
      <c r="F12" s="15">
        <f>SUM(F6:F11)</f>
        <v/>
      </c>
    </row>
    <row r="14">
      <c r="A14" s="7" t="inlineStr">
        <is>
          <t>Recurring &amp; other revenue</t>
        </is>
      </c>
      <c r="B14" s="8" t="n"/>
      <c r="C14" s="8" t="n"/>
      <c r="D14" s="8" t="n"/>
      <c r="E14" s="8" t="n"/>
      <c r="F14" s="8" t="n"/>
    </row>
    <row r="15">
      <c r="A15" s="9" t="inlineStr">
        <is>
          <t>Private Court (SaaS)</t>
        </is>
      </c>
      <c r="B15" s="13">
        <f>'1. Drivers'!B22*'1. Drivers'!B23/100000</f>
        <v/>
      </c>
      <c r="C15" s="13">
        <f>'1. Drivers'!C22*'1. Drivers'!C23/100000</f>
        <v/>
      </c>
      <c r="D15" s="13">
        <f>'1. Drivers'!D22*'1. Drivers'!D23/100000</f>
        <v/>
      </c>
      <c r="E15" s="13">
        <f>'1. Drivers'!E22*'1. Drivers'!E23/100000</f>
        <v/>
      </c>
      <c r="F15" s="13">
        <f>'1. Drivers'!F22*'1. Drivers'!F23/100000</f>
        <v/>
      </c>
    </row>
    <row r="16">
      <c r="A16" s="9" t="inlineStr">
        <is>
          <t>Enterprise / API</t>
        </is>
      </c>
      <c r="B16" s="13">
        <f>'1. Drivers'!B24*'1. Drivers'!B25/100000</f>
        <v/>
      </c>
      <c r="C16" s="13">
        <f>'1. Drivers'!C24*'1. Drivers'!C25/100000</f>
        <v/>
      </c>
      <c r="D16" s="13">
        <f>'1. Drivers'!D24*'1. Drivers'!D25/100000</f>
        <v/>
      </c>
      <c r="E16" s="13">
        <f>'1. Drivers'!E24*'1. Drivers'!E25/100000</f>
        <v/>
      </c>
      <c r="F16" s="13">
        <f>'1. Drivers'!F24*'1. Drivers'!F25/100000</f>
        <v/>
      </c>
    </row>
    <row r="17">
      <c r="A17" s="9" t="inlineStr">
        <is>
          <t>Academy</t>
        </is>
      </c>
      <c r="B17" s="13">
        <f>'1. Drivers'!B26*'1. Drivers'!B27/100000</f>
        <v/>
      </c>
      <c r="C17" s="13">
        <f>'1. Drivers'!C26*'1. Drivers'!C27/100000</f>
        <v/>
      </c>
      <c r="D17" s="13">
        <f>'1. Drivers'!D26*'1. Drivers'!D27/100000</f>
        <v/>
      </c>
      <c r="E17" s="13">
        <f>'1. Drivers'!E26*'1. Drivers'!E27/100000</f>
        <v/>
      </c>
      <c r="F17" s="13">
        <f>'1. Drivers'!F26*'1. Drivers'!F27/100000</f>
        <v/>
      </c>
    </row>
    <row r="18">
      <c r="A18" s="9" t="inlineStr">
        <is>
          <t>Grievance / POSH (SaaS)</t>
        </is>
      </c>
      <c r="B18" s="13">
        <f>'1. Drivers'!B28*'1. Drivers'!B29/100000</f>
        <v/>
      </c>
      <c r="C18" s="13">
        <f>'1. Drivers'!C28*'1. Drivers'!C29/100000</f>
        <v/>
      </c>
      <c r="D18" s="13">
        <f>'1. Drivers'!D28*'1. Drivers'!D29/100000</f>
        <v/>
      </c>
      <c r="E18" s="13">
        <f>'1. Drivers'!E28*'1. Drivers'!E29/100000</f>
        <v/>
      </c>
      <c r="F18" s="13">
        <f>'1. Drivers'!F28*'1. Drivers'!F29/100000</f>
        <v/>
      </c>
    </row>
    <row r="19">
      <c r="A19" s="14" t="inlineStr">
        <is>
          <t>Total recurring &amp; other</t>
        </is>
      </c>
      <c r="B19" s="15">
        <f>SUM(B15:B18)</f>
        <v/>
      </c>
      <c r="C19" s="15">
        <f>SUM(C15:C18)</f>
        <v/>
      </c>
      <c r="D19" s="15">
        <f>SUM(D15:D18)</f>
        <v/>
      </c>
      <c r="E19" s="15">
        <f>SUM(E15:E18)</f>
        <v/>
      </c>
      <c r="F19" s="15">
        <f>SUM(F15:F18)</f>
        <v/>
      </c>
    </row>
    <row r="21">
      <c r="A21" s="16" t="inlineStr">
        <is>
          <t>TOTAL REVENUE</t>
        </is>
      </c>
      <c r="B21" s="17">
        <f>B12+B19</f>
        <v/>
      </c>
      <c r="C21" s="17">
        <f>C12+C19</f>
        <v/>
      </c>
      <c r="D21" s="17">
        <f>D12+D19</f>
        <v/>
      </c>
      <c r="E21" s="17">
        <f>E12+E19</f>
        <v/>
      </c>
      <c r="F21" s="17">
        <f>F12+F19</f>
        <v/>
      </c>
    </row>
    <row r="22">
      <c r="A22" s="9" t="inlineStr">
        <is>
          <t>Revenue growth %</t>
        </is>
      </c>
      <c r="B22" s="18" t="n"/>
      <c r="C22" s="18">
        <f>C21/B21-1</f>
        <v/>
      </c>
      <c r="D22" s="18">
        <f>D21/C21-1</f>
        <v/>
      </c>
      <c r="E22" s="18">
        <f>E21/D21-1</f>
        <v/>
      </c>
      <c r="F22" s="18">
        <f>F21/E21-1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s="1" t="inlineStr">
        <is>
          <t>3 · Unit Economics</t>
        </is>
      </c>
    </row>
    <row r="2">
      <c r="A2" s="2" t="inlineStr">
        <is>
          <t>Blended per-case and SaaS metrics (₹ unless %).</t>
        </is>
      </c>
    </row>
    <row r="3">
      <c r="A3" s="5" t="inlineStr">
        <is>
          <t>Line item</t>
        </is>
      </c>
      <c r="B3" s="6" t="inlineStr">
        <is>
          <t>FY27</t>
        </is>
      </c>
      <c r="C3" s="6" t="inlineStr">
        <is>
          <t>FY28</t>
        </is>
      </c>
      <c r="D3" s="6" t="inlineStr">
        <is>
          <t>FY29</t>
        </is>
      </c>
      <c r="E3" s="6" t="inlineStr">
        <is>
          <t>FY30</t>
        </is>
      </c>
      <c r="F3" s="6" t="inlineStr">
        <is>
          <t>FY31</t>
        </is>
      </c>
    </row>
    <row r="5">
      <c r="A5" s="9" t="inlineStr">
        <is>
          <t>Total cases (units)</t>
        </is>
      </c>
      <c r="B5" s="13">
        <f>'1. Drivers'!B6+'1. Drivers'!B7+'1. Drivers'!B8+'1. Drivers'!B9+'1. Drivers'!B10+'1. Drivers'!B11</f>
        <v/>
      </c>
      <c r="C5" s="13">
        <f>'1. Drivers'!C6+'1. Drivers'!C7+'1. Drivers'!C8+'1. Drivers'!C9+'1. Drivers'!C10+'1. Drivers'!C11</f>
        <v/>
      </c>
      <c r="D5" s="13">
        <f>'1. Drivers'!D6+'1. Drivers'!D7+'1. Drivers'!D8+'1. Drivers'!D9+'1. Drivers'!D10+'1. Drivers'!D11</f>
        <v/>
      </c>
      <c r="E5" s="13">
        <f>'1. Drivers'!E6+'1. Drivers'!E7+'1. Drivers'!E8+'1. Drivers'!E9+'1. Drivers'!E10+'1. Drivers'!E11</f>
        <v/>
      </c>
      <c r="F5" s="13">
        <f>'1. Drivers'!F6+'1. Drivers'!F7+'1. Drivers'!F8+'1. Drivers'!F9+'1. Drivers'!F10+'1. Drivers'!F11</f>
        <v/>
      </c>
    </row>
    <row r="6">
      <c r="A6" s="9" t="inlineStr">
        <is>
          <t>Case revenue (₹ lakh)</t>
        </is>
      </c>
      <c r="B6" s="13">
        <f>'2. Revenue'!B12</f>
        <v/>
      </c>
      <c r="C6" s="13">
        <f>'2. Revenue'!C12</f>
        <v/>
      </c>
      <c r="D6" s="13">
        <f>'2. Revenue'!D12</f>
        <v/>
      </c>
      <c r="E6" s="13">
        <f>'2. Revenue'!E12</f>
        <v/>
      </c>
      <c r="F6" s="13">
        <f>'2. Revenue'!F12</f>
        <v/>
      </c>
    </row>
    <row r="7">
      <c r="A7" s="9" t="inlineStr">
        <is>
          <t>Blended revenue / case (₹)</t>
        </is>
      </c>
      <c r="B7" s="19">
        <f>IFERROR(B6*100000/B5,0)</f>
        <v/>
      </c>
      <c r="C7" s="19">
        <f>IFERROR(C6*100000/C5,0)</f>
        <v/>
      </c>
      <c r="D7" s="19">
        <f>IFERROR(D6*100000/D5,0)</f>
        <v/>
      </c>
      <c r="E7" s="19">
        <f>IFERROR(E6*100000/E5,0)</f>
        <v/>
      </c>
      <c r="F7" s="19">
        <f>IFERROR(F6*100000/F5,0)</f>
        <v/>
      </c>
    </row>
    <row r="8">
      <c r="A8" s="9" t="inlineStr">
        <is>
          <t>Neutral payout / case (₹)</t>
        </is>
      </c>
      <c r="B8" s="20">
        <f>IFERROR(B7*'1. Drivers'!B32,0)</f>
        <v/>
      </c>
      <c r="C8" s="20">
        <f>IFERROR(C7*'1. Drivers'!C32,0)</f>
        <v/>
      </c>
      <c r="D8" s="20">
        <f>IFERROR(D7*'1. Drivers'!D32,0)</f>
        <v/>
      </c>
      <c r="E8" s="20">
        <f>IFERROR(E7*'1. Drivers'!E32,0)</f>
        <v/>
      </c>
      <c r="F8" s="20">
        <f>IFERROR(F7*'1. Drivers'!F32,0)</f>
        <v/>
      </c>
    </row>
    <row r="9">
      <c r="A9" s="9" t="inlineStr">
        <is>
          <t>Gross margin / case (₹)</t>
        </is>
      </c>
      <c r="B9" s="19">
        <f>B7-B8-B7*'1. Drivers'!B33</f>
        <v/>
      </c>
      <c r="C9" s="19">
        <f>C7-C8-C7*'1. Drivers'!C33</f>
        <v/>
      </c>
      <c r="D9" s="19">
        <f>D7-D8-D7*'1. Drivers'!D33</f>
        <v/>
      </c>
      <c r="E9" s="19">
        <f>E7-E8-E7*'1. Drivers'!E33</f>
        <v/>
      </c>
      <c r="F9" s="19">
        <f>F7-F8-F7*'1. Drivers'!F33</f>
        <v/>
      </c>
    </row>
    <row r="10">
      <c r="A10" s="9" t="inlineStr">
        <is>
          <t>Gross margin / case (%)</t>
        </is>
      </c>
      <c r="B10" s="18">
        <f>IFERROR(B9/B7,0)</f>
        <v/>
      </c>
      <c r="C10" s="18">
        <f>IFERROR(C9/C7,0)</f>
        <v/>
      </c>
      <c r="D10" s="18">
        <f>IFERROR(D9/D7,0)</f>
        <v/>
      </c>
      <c r="E10" s="18">
        <f>IFERROR(E9/E7,0)</f>
        <v/>
      </c>
      <c r="F10" s="18">
        <f>IFERROR(F9/F7,0)</f>
        <v/>
      </c>
    </row>
    <row r="12">
      <c r="A12" s="9" t="inlineStr">
        <is>
          <t>SaaS logos (PC+Enterprise)</t>
        </is>
      </c>
      <c r="B12" s="13">
        <f>'1. Drivers'!B22+'1. Drivers'!B24</f>
        <v/>
      </c>
      <c r="C12" s="13">
        <f>'1. Drivers'!C22+'1. Drivers'!C24</f>
        <v/>
      </c>
      <c r="D12" s="13">
        <f>'1. Drivers'!D22+'1. Drivers'!D24</f>
        <v/>
      </c>
      <c r="E12" s="13">
        <f>'1. Drivers'!E22+'1. Drivers'!E24</f>
        <v/>
      </c>
      <c r="F12" s="13">
        <f>'1. Drivers'!F22+'1. Drivers'!F24</f>
        <v/>
      </c>
    </row>
    <row r="13">
      <c r="A13" s="9" t="inlineStr">
        <is>
          <t>S&amp;M spend, 40% to SaaS (₹ lakh)</t>
        </is>
      </c>
      <c r="B13" s="13">
        <f>'2. Revenue'!B21*'1. Drivers'!B34</f>
        <v/>
      </c>
      <c r="C13" s="13">
        <f>'2. Revenue'!C21*'1. Drivers'!C34</f>
        <v/>
      </c>
      <c r="D13" s="13">
        <f>'2. Revenue'!D21*'1. Drivers'!D34</f>
        <v/>
      </c>
      <c r="E13" s="13">
        <f>'2. Revenue'!E21*'1. Drivers'!E34</f>
        <v/>
      </c>
      <c r="F13" s="13">
        <f>'2. Revenue'!F21*'1. Drivers'!F34</f>
        <v/>
      </c>
    </row>
    <row r="14">
      <c r="A14" s="9" t="inlineStr">
        <is>
          <t>New SaaS logos (approx)</t>
        </is>
      </c>
      <c r="B14" s="21">
        <f>B12</f>
        <v/>
      </c>
      <c r="C14" s="21">
        <f>MAX(C12-B12,1)</f>
        <v/>
      </c>
      <c r="D14" s="21">
        <f>MAX(D12-C12,1)</f>
        <v/>
      </c>
      <c r="E14" s="21">
        <f>MAX(E12-D12,1)</f>
        <v/>
      </c>
      <c r="F14" s="21">
        <f>MAX(F12-E12,1)</f>
        <v/>
      </c>
    </row>
    <row r="15">
      <c r="A15" s="9" t="inlineStr">
        <is>
          <t>Blended CAC / new logo (₹ lakh)</t>
        </is>
      </c>
      <c r="B15" s="21">
        <f>IFERROR(B13*0.4/B14,0)</f>
        <v/>
      </c>
      <c r="C15" s="21">
        <f>IFERROR(C13*0.4/C14,0)</f>
        <v/>
      </c>
      <c r="D15" s="21">
        <f>IFERROR(D13*0.4/D14,0)</f>
        <v/>
      </c>
      <c r="E15" s="21">
        <f>IFERROR(E13*0.4/E14,0)</f>
        <v/>
      </c>
      <c r="F15" s="21">
        <f>IFERROR(F13*0.4/F14,0)</f>
        <v/>
      </c>
    </row>
    <row r="16">
      <c r="A16" s="9" t="inlineStr">
        <is>
          <t>Avg SaaS ARPU (₹ lakh/yr)</t>
        </is>
      </c>
      <c r="B16" s="21">
        <f>IFERROR(('2. Revenue'!B15+'2. Revenue'!B16)/B12,0)</f>
        <v/>
      </c>
      <c r="C16" s="21">
        <f>IFERROR(('2. Revenue'!C15+'2. Revenue'!C16)/C12,0)</f>
        <v/>
      </c>
      <c r="D16" s="21">
        <f>IFERROR(('2. Revenue'!D15+'2. Revenue'!D16)/D12,0)</f>
        <v/>
      </c>
      <c r="E16" s="21">
        <f>IFERROR(('2. Revenue'!E15+'2. Revenue'!E16)/E12,0)</f>
        <v/>
      </c>
      <c r="F16" s="21">
        <f>IFERROR(('2. Revenue'!F15+'2. Revenue'!F16)/F12,0)</f>
        <v/>
      </c>
    </row>
    <row r="17">
      <c r="A17" s="9" t="inlineStr">
        <is>
          <t>LTV (ARPU × 80% GM × 4 yrs, ₹ lakh)</t>
        </is>
      </c>
      <c r="B17" s="21">
        <f>B16*0.8*4</f>
        <v/>
      </c>
      <c r="C17" s="21">
        <f>C16*0.8*4</f>
        <v/>
      </c>
      <c r="D17" s="21">
        <f>D16*0.8*4</f>
        <v/>
      </c>
      <c r="E17" s="21">
        <f>E16*0.8*4</f>
        <v/>
      </c>
      <c r="F17" s="21">
        <f>F16*0.8*4</f>
        <v/>
      </c>
    </row>
    <row r="18">
      <c r="A18" s="9" t="inlineStr">
        <is>
          <t>LTV / CAC (x)</t>
        </is>
      </c>
      <c r="B18" s="22">
        <f>IFERROR(B17/B15,0)</f>
        <v/>
      </c>
      <c r="C18" s="22">
        <f>IFERROR(C17/C15,0)</f>
        <v/>
      </c>
      <c r="D18" s="22">
        <f>IFERROR(D17/D15,0)</f>
        <v/>
      </c>
      <c r="E18" s="22">
        <f>IFERROR(E17/E15,0)</f>
        <v/>
      </c>
      <c r="F18" s="22">
        <f>IFERROR(F17/F15,0)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s="1" t="inlineStr">
        <is>
          <t>4 · Costs &amp; Headcount (₹ lakh)</t>
        </is>
      </c>
    </row>
    <row r="2">
      <c r="A2" s="2" t="inlineStr"/>
    </row>
    <row r="3">
      <c r="A3" s="5" t="inlineStr">
        <is>
          <t>Line item</t>
        </is>
      </c>
      <c r="B3" s="6" t="inlineStr">
        <is>
          <t>FY27</t>
        </is>
      </c>
      <c r="C3" s="6" t="inlineStr">
        <is>
          <t>FY28</t>
        </is>
      </c>
      <c r="D3" s="6" t="inlineStr">
        <is>
          <t>FY29</t>
        </is>
      </c>
      <c r="E3" s="6" t="inlineStr">
        <is>
          <t>FY30</t>
        </is>
      </c>
      <c r="F3" s="6" t="inlineStr">
        <is>
          <t>FY31</t>
        </is>
      </c>
    </row>
    <row r="5">
      <c r="A5" s="7" t="inlineStr">
        <is>
          <t>Headcount</t>
        </is>
      </c>
      <c r="B5" s="8" t="n"/>
      <c r="C5" s="8" t="n"/>
      <c r="D5" s="8" t="n"/>
      <c r="E5" s="8" t="n"/>
      <c r="F5" s="8" t="n"/>
    </row>
    <row r="6">
      <c r="A6" s="9" t="inlineStr">
        <is>
          <t>Engineering &amp; Product</t>
        </is>
      </c>
      <c r="B6" s="13">
        <f>'1. Drivers'!B37</f>
        <v/>
      </c>
      <c r="C6" s="13">
        <f>'1. Drivers'!C37</f>
        <v/>
      </c>
      <c r="D6" s="13">
        <f>'1. Drivers'!D37</f>
        <v/>
      </c>
      <c r="E6" s="13">
        <f>'1. Drivers'!E37</f>
        <v/>
      </c>
      <c r="F6" s="13">
        <f>'1. Drivers'!F37</f>
        <v/>
      </c>
    </row>
    <row r="7">
      <c r="A7" s="9" t="inlineStr">
        <is>
          <t>Legal &amp; Case-ops</t>
        </is>
      </c>
      <c r="B7" s="13">
        <f>'1. Drivers'!B38</f>
        <v/>
      </c>
      <c r="C7" s="13">
        <f>'1. Drivers'!C38</f>
        <v/>
      </c>
      <c r="D7" s="13">
        <f>'1. Drivers'!D38</f>
        <v/>
      </c>
      <c r="E7" s="13">
        <f>'1. Drivers'!E38</f>
        <v/>
      </c>
      <c r="F7" s="13">
        <f>'1. Drivers'!F38</f>
        <v/>
      </c>
    </row>
    <row r="8">
      <c r="A8" s="9" t="inlineStr">
        <is>
          <t>Sales &amp; Marketing</t>
        </is>
      </c>
      <c r="B8" s="13">
        <f>'1. Drivers'!B39</f>
        <v/>
      </c>
      <c r="C8" s="13">
        <f>'1. Drivers'!C39</f>
        <v/>
      </c>
      <c r="D8" s="13">
        <f>'1. Drivers'!D39</f>
        <v/>
      </c>
      <c r="E8" s="13">
        <f>'1. Drivers'!E39</f>
        <v/>
      </c>
      <c r="F8" s="13">
        <f>'1. Drivers'!F39</f>
        <v/>
      </c>
    </row>
    <row r="9">
      <c r="A9" s="9" t="inlineStr">
        <is>
          <t>G&amp;A</t>
        </is>
      </c>
      <c r="B9" s="13">
        <f>'1. Drivers'!B40</f>
        <v/>
      </c>
      <c r="C9" s="13">
        <f>'1. Drivers'!C40</f>
        <v/>
      </c>
      <c r="D9" s="13">
        <f>'1. Drivers'!D40</f>
        <v/>
      </c>
      <c r="E9" s="13">
        <f>'1. Drivers'!E40</f>
        <v/>
      </c>
      <c r="F9" s="13">
        <f>'1. Drivers'!F40</f>
        <v/>
      </c>
    </row>
    <row r="10">
      <c r="A10" s="14" t="inlineStr">
        <is>
          <t>Total headcount</t>
        </is>
      </c>
      <c r="B10" s="15">
        <f>SUM(B6:B9)</f>
        <v/>
      </c>
      <c r="C10" s="15">
        <f>SUM(C6:C9)</f>
        <v/>
      </c>
      <c r="D10" s="15">
        <f>SUM(D6:D9)</f>
        <v/>
      </c>
      <c r="E10" s="15">
        <f>SUM(E6:E9)</f>
        <v/>
      </c>
      <c r="F10" s="15">
        <f>SUM(F6:F9)</f>
        <v/>
      </c>
    </row>
    <row r="12">
      <c r="A12" s="7" t="inlineStr">
        <is>
          <t>Cost lines</t>
        </is>
      </c>
      <c r="B12" s="8" t="n"/>
      <c r="C12" s="8" t="n"/>
      <c r="D12" s="8" t="n"/>
      <c r="E12" s="8" t="n"/>
      <c r="F12" s="8" t="n"/>
    </row>
    <row r="13">
      <c r="A13" s="9" t="inlineStr">
        <is>
          <t>Personnel</t>
        </is>
      </c>
      <c r="B13" s="21">
        <f>B10*'1. Drivers'!B41</f>
        <v/>
      </c>
      <c r="C13" s="21">
        <f>C10*'1. Drivers'!C41</f>
        <v/>
      </c>
      <c r="D13" s="21">
        <f>D10*'1. Drivers'!D41</f>
        <v/>
      </c>
      <c r="E13" s="21">
        <f>E10*'1. Drivers'!E41</f>
        <v/>
      </c>
      <c r="F13" s="21">
        <f>F10*'1. Drivers'!F41</f>
        <v/>
      </c>
    </row>
    <row r="14">
      <c r="A14" s="9" t="inlineStr">
        <is>
          <t>Tech &amp; infrastructure</t>
        </is>
      </c>
      <c r="B14" s="13">
        <f>'1. Drivers'!B42</f>
        <v/>
      </c>
      <c r="C14" s="13">
        <f>'1. Drivers'!C42</f>
        <v/>
      </c>
      <c r="D14" s="13">
        <f>'1. Drivers'!D42</f>
        <v/>
      </c>
      <c r="E14" s="13">
        <f>'1. Drivers'!E42</f>
        <v/>
      </c>
      <c r="F14" s="13">
        <f>'1. Drivers'!F42</f>
        <v/>
      </c>
    </row>
    <row r="15">
      <c r="A15" s="9" t="inlineStr">
        <is>
          <t>Sales &amp; marketing</t>
        </is>
      </c>
      <c r="B15" s="13">
        <f>'2. Revenue'!B21*'1. Drivers'!B34</f>
        <v/>
      </c>
      <c r="C15" s="13">
        <f>'2. Revenue'!C21*'1. Drivers'!C34</f>
        <v/>
      </c>
      <c r="D15" s="13">
        <f>'2. Revenue'!D21*'1. Drivers'!D34</f>
        <v/>
      </c>
      <c r="E15" s="13">
        <f>'2. Revenue'!E21*'1. Drivers'!E34</f>
        <v/>
      </c>
      <c r="F15" s="13">
        <f>'2. Revenue'!F21*'1. Drivers'!F34</f>
        <v/>
      </c>
    </row>
    <row r="16">
      <c r="A16" s="9" t="inlineStr">
        <is>
          <t>Other G&amp;A</t>
        </is>
      </c>
      <c r="B16" s="13">
        <f>'1. Drivers'!B43</f>
        <v/>
      </c>
      <c r="C16" s="13">
        <f>'1. Drivers'!C43</f>
        <v/>
      </c>
      <c r="D16" s="13">
        <f>'1. Drivers'!D43</f>
        <v/>
      </c>
      <c r="E16" s="13">
        <f>'1. Drivers'!E43</f>
        <v/>
      </c>
      <c r="F16" s="13">
        <f>'1. Drivers'!F43</f>
        <v/>
      </c>
    </row>
    <row r="17">
      <c r="A17" s="9" t="inlineStr">
        <is>
          <t>Neutral payout (COGS)</t>
        </is>
      </c>
      <c r="B17" s="13">
        <f>'2. Revenue'!B12*'1. Drivers'!B32</f>
        <v/>
      </c>
      <c r="C17" s="13">
        <f>'2. Revenue'!C12*'1. Drivers'!C32</f>
        <v/>
      </c>
      <c r="D17" s="13">
        <f>'2. Revenue'!D12*'1. Drivers'!D32</f>
        <v/>
      </c>
      <c r="E17" s="13">
        <f>'2. Revenue'!E12*'1. Drivers'!E32</f>
        <v/>
      </c>
      <c r="F17" s="13">
        <f>'2. Revenue'!F12*'1. Drivers'!F32</f>
        <v/>
      </c>
    </row>
    <row r="18">
      <c r="A18" s="9" t="inlineStr">
        <is>
          <t>Payment processing (COGS)</t>
        </is>
      </c>
      <c r="B18" s="13">
        <f>'2. Revenue'!B21*'1. Drivers'!B33</f>
        <v/>
      </c>
      <c r="C18" s="13">
        <f>'2. Revenue'!C21*'1. Drivers'!C33</f>
        <v/>
      </c>
      <c r="D18" s="13">
        <f>'2. Revenue'!D21*'1. Drivers'!D33</f>
        <v/>
      </c>
      <c r="E18" s="13">
        <f>'2. Revenue'!E21*'1. Drivers'!E33</f>
        <v/>
      </c>
      <c r="F18" s="13">
        <f>'2. Revenue'!F21*'1. Drivers'!F33</f>
        <v/>
      </c>
    </row>
    <row r="19">
      <c r="A19" s="14" t="inlineStr">
        <is>
          <t>Total costs</t>
        </is>
      </c>
      <c r="B19" s="15">
        <f>SUM(B13:B18)</f>
        <v/>
      </c>
      <c r="C19" s="15">
        <f>SUM(C13:C18)</f>
        <v/>
      </c>
      <c r="D19" s="15">
        <f>SUM(D13:D18)</f>
        <v/>
      </c>
      <c r="E19" s="15">
        <f>SUM(E13:E18)</f>
        <v/>
      </c>
      <c r="F19" s="15">
        <f>SUM(F13:F18)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s="1" t="inlineStr">
        <is>
          <t>5 · Profit &amp; Loss (₹ lakh)</t>
        </is>
      </c>
    </row>
    <row r="2">
      <c r="A2" s="2" t="inlineStr"/>
    </row>
    <row r="3">
      <c r="A3" s="5" t="inlineStr">
        <is>
          <t>Line item</t>
        </is>
      </c>
      <c r="B3" s="6" t="inlineStr">
        <is>
          <t>FY27</t>
        </is>
      </c>
      <c r="C3" s="6" t="inlineStr">
        <is>
          <t>FY28</t>
        </is>
      </c>
      <c r="D3" s="6" t="inlineStr">
        <is>
          <t>FY29</t>
        </is>
      </c>
      <c r="E3" s="6" t="inlineStr">
        <is>
          <t>FY30</t>
        </is>
      </c>
      <c r="F3" s="6" t="inlineStr">
        <is>
          <t>FY31</t>
        </is>
      </c>
    </row>
    <row r="5">
      <c r="A5" s="14" t="inlineStr">
        <is>
          <t>Revenue</t>
        </is>
      </c>
      <c r="B5" s="23">
        <f>'2. Revenue'!B21</f>
        <v/>
      </c>
      <c r="C5" s="23">
        <f>'2. Revenue'!C21</f>
        <v/>
      </c>
      <c r="D5" s="23">
        <f>'2. Revenue'!D21</f>
        <v/>
      </c>
      <c r="E5" s="23">
        <f>'2. Revenue'!E21</f>
        <v/>
      </c>
      <c r="F5" s="23">
        <f>'2. Revenue'!F21</f>
        <v/>
      </c>
    </row>
    <row r="6">
      <c r="A6" s="9" t="inlineStr">
        <is>
          <t>COGS (neutral payout + processing)</t>
        </is>
      </c>
      <c r="B6" s="13">
        <f>-('4. Costs &amp; Headcount'!B17+'4. Costs &amp; Headcount'!B18)</f>
        <v/>
      </c>
      <c r="C6" s="13">
        <f>-('4. Costs &amp; Headcount'!C17+'4. Costs &amp; Headcount'!C18)</f>
        <v/>
      </c>
      <c r="D6" s="13">
        <f>-('4. Costs &amp; Headcount'!D17+'4. Costs &amp; Headcount'!D18)</f>
        <v/>
      </c>
      <c r="E6" s="13">
        <f>-('4. Costs &amp; Headcount'!E17+'4. Costs &amp; Headcount'!E18)</f>
        <v/>
      </c>
      <c r="F6" s="13">
        <f>-('4. Costs &amp; Headcount'!F17+'4. Costs &amp; Headcount'!F18)</f>
        <v/>
      </c>
    </row>
    <row r="7">
      <c r="A7" s="14" t="inlineStr">
        <is>
          <t>Gross profit</t>
        </is>
      </c>
      <c r="B7" s="15">
        <f>B5+B6</f>
        <v/>
      </c>
      <c r="C7" s="15">
        <f>C5+C6</f>
        <v/>
      </c>
      <c r="D7" s="15">
        <f>D5+D6</f>
        <v/>
      </c>
      <c r="E7" s="15">
        <f>E5+E6</f>
        <v/>
      </c>
      <c r="F7" s="15">
        <f>F5+F6</f>
        <v/>
      </c>
    </row>
    <row r="8">
      <c r="A8" s="9" t="inlineStr">
        <is>
          <t>Gross margin %</t>
        </is>
      </c>
      <c r="B8" s="18">
        <f>IFERROR(B7/B5,0)</f>
        <v/>
      </c>
      <c r="C8" s="18">
        <f>IFERROR(C7/C5,0)</f>
        <v/>
      </c>
      <c r="D8" s="18">
        <f>IFERROR(D7/D5,0)</f>
        <v/>
      </c>
      <c r="E8" s="18">
        <f>IFERROR(E7/E5,0)</f>
        <v/>
      </c>
      <c r="F8" s="18">
        <f>IFERROR(F7/F5,0)</f>
        <v/>
      </c>
    </row>
    <row r="10">
      <c r="A10" s="7" t="inlineStr">
        <is>
          <t>Operating expenses</t>
        </is>
      </c>
      <c r="B10" s="8" t="n"/>
      <c r="C10" s="8" t="n"/>
      <c r="D10" s="8" t="n"/>
      <c r="E10" s="8" t="n"/>
      <c r="F10" s="8" t="n"/>
    </row>
    <row r="11">
      <c r="A11" s="9" t="inlineStr">
        <is>
          <t>Personnel</t>
        </is>
      </c>
      <c r="B11" s="13">
        <f>-'4. Costs &amp; Headcount'!B13</f>
        <v/>
      </c>
      <c r="C11" s="13">
        <f>-'4. Costs &amp; Headcount'!C13</f>
        <v/>
      </c>
      <c r="D11" s="13">
        <f>-'4. Costs &amp; Headcount'!D13</f>
        <v/>
      </c>
      <c r="E11" s="13">
        <f>-'4. Costs &amp; Headcount'!E13</f>
        <v/>
      </c>
      <c r="F11" s="13">
        <f>-'4. Costs &amp; Headcount'!F13</f>
        <v/>
      </c>
    </row>
    <row r="12">
      <c r="A12" s="9" t="inlineStr">
        <is>
          <t>Sales &amp; marketing</t>
        </is>
      </c>
      <c r="B12" s="13">
        <f>-'4. Costs &amp; Headcount'!B15</f>
        <v/>
      </c>
      <c r="C12" s="13">
        <f>-'4. Costs &amp; Headcount'!C15</f>
        <v/>
      </c>
      <c r="D12" s="13">
        <f>-'4. Costs &amp; Headcount'!D15</f>
        <v/>
      </c>
      <c r="E12" s="13">
        <f>-'4. Costs &amp; Headcount'!E15</f>
        <v/>
      </c>
      <c r="F12" s="13">
        <f>-'4. Costs &amp; Headcount'!F15</f>
        <v/>
      </c>
    </row>
    <row r="13">
      <c r="A13" s="9" t="inlineStr">
        <is>
          <t>Tech &amp; infrastructure</t>
        </is>
      </c>
      <c r="B13" s="13">
        <f>-'4. Costs &amp; Headcount'!B14</f>
        <v/>
      </c>
      <c r="C13" s="13">
        <f>-'4. Costs &amp; Headcount'!C14</f>
        <v/>
      </c>
      <c r="D13" s="13">
        <f>-'4. Costs &amp; Headcount'!D14</f>
        <v/>
      </c>
      <c r="E13" s="13">
        <f>-'4. Costs &amp; Headcount'!E14</f>
        <v/>
      </c>
      <c r="F13" s="13">
        <f>-'4. Costs &amp; Headcount'!F14</f>
        <v/>
      </c>
    </row>
    <row r="14">
      <c r="A14" s="9" t="inlineStr">
        <is>
          <t>Other G&amp;A</t>
        </is>
      </c>
      <c r="B14" s="13">
        <f>-'4. Costs &amp; Headcount'!B16</f>
        <v/>
      </c>
      <c r="C14" s="13">
        <f>-'4. Costs &amp; Headcount'!C16</f>
        <v/>
      </c>
      <c r="D14" s="13">
        <f>-'4. Costs &amp; Headcount'!D16</f>
        <v/>
      </c>
      <c r="E14" s="13">
        <f>-'4. Costs &amp; Headcount'!E16</f>
        <v/>
      </c>
      <c r="F14" s="13">
        <f>-'4. Costs &amp; Headcount'!F16</f>
        <v/>
      </c>
    </row>
    <row r="15">
      <c r="A15" s="14" t="inlineStr">
        <is>
          <t>Total opex</t>
        </is>
      </c>
      <c r="B15" s="15">
        <f>SUM(B11:B14)</f>
        <v/>
      </c>
      <c r="C15" s="15">
        <f>SUM(C11:C14)</f>
        <v/>
      </c>
      <c r="D15" s="15">
        <f>SUM(D11:D14)</f>
        <v/>
      </c>
      <c r="E15" s="15">
        <f>SUM(E11:E14)</f>
        <v/>
      </c>
      <c r="F15" s="15">
        <f>SUM(F11:F14)</f>
        <v/>
      </c>
    </row>
    <row r="17">
      <c r="A17" s="16" t="inlineStr">
        <is>
          <t>EBITDA</t>
        </is>
      </c>
      <c r="B17" s="17">
        <f>B7+B15</f>
        <v/>
      </c>
      <c r="C17" s="17">
        <f>C7+C15</f>
        <v/>
      </c>
      <c r="D17" s="17">
        <f>D7+D15</f>
        <v/>
      </c>
      <c r="E17" s="17">
        <f>E7+E15</f>
        <v/>
      </c>
      <c r="F17" s="17">
        <f>F7+F15</f>
        <v/>
      </c>
    </row>
    <row r="18">
      <c r="A18" s="9" t="inlineStr">
        <is>
          <t>EBITDA margin %</t>
        </is>
      </c>
      <c r="B18" s="18">
        <f>IFERROR(B17/B5,0)</f>
        <v/>
      </c>
      <c r="C18" s="18">
        <f>IFERROR(C17/C5,0)</f>
        <v/>
      </c>
      <c r="D18" s="18">
        <f>IFERROR(D17/D5,0)</f>
        <v/>
      </c>
      <c r="E18" s="18">
        <f>IFERROR(E17/E5,0)</f>
        <v/>
      </c>
      <c r="F18" s="18">
        <f>IFERROR(F17/F5,0)</f>
        <v/>
      </c>
    </row>
    <row r="19">
      <c r="A19" s="9" t="inlineStr">
        <is>
          <t>Cumulative EBITDA</t>
        </is>
      </c>
      <c r="B19" s="21">
        <f>B17</f>
        <v/>
      </c>
      <c r="C19" s="21">
        <f>B19+C17</f>
        <v/>
      </c>
      <c r="D19" s="21">
        <f>C19+D17</f>
        <v/>
      </c>
      <c r="E19" s="21">
        <f>D19+E17</f>
        <v/>
      </c>
      <c r="F19" s="21">
        <f>E19+F17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s="1" t="inlineStr">
        <is>
          <t>6 · Summary</t>
        </is>
      </c>
    </row>
    <row r="2">
      <c r="A2" s="2" t="inlineStr">
        <is>
          <t>Key metrics (₹ lakh unless noted).</t>
        </is>
      </c>
    </row>
    <row r="3">
      <c r="A3" s="5" t="inlineStr">
        <is>
          <t>Line item</t>
        </is>
      </c>
      <c r="B3" s="6" t="inlineStr">
        <is>
          <t>FY27</t>
        </is>
      </c>
      <c r="C3" s="6" t="inlineStr">
        <is>
          <t>FY28</t>
        </is>
      </c>
      <c r="D3" s="6" t="inlineStr">
        <is>
          <t>FY29</t>
        </is>
      </c>
      <c r="E3" s="6" t="inlineStr">
        <is>
          <t>FY30</t>
        </is>
      </c>
      <c r="F3" s="6" t="inlineStr">
        <is>
          <t>FY31</t>
        </is>
      </c>
    </row>
    <row r="5">
      <c r="A5" s="14" t="inlineStr">
        <is>
          <t>Total revenue</t>
        </is>
      </c>
      <c r="B5" s="23">
        <f>'2. Revenue'!B21</f>
        <v/>
      </c>
      <c r="C5" s="23">
        <f>'2. Revenue'!C21</f>
        <v/>
      </c>
      <c r="D5" s="23">
        <f>'2. Revenue'!D21</f>
        <v/>
      </c>
      <c r="E5" s="23">
        <f>'2. Revenue'!E21</f>
        <v/>
      </c>
      <c r="F5" s="23">
        <f>'2. Revenue'!F21</f>
        <v/>
      </c>
    </row>
    <row r="6">
      <c r="A6" s="9" t="inlineStr">
        <is>
          <t>Revenue growth %</t>
        </is>
      </c>
      <c r="B6" s="24">
        <f>'2. Revenue'!B22</f>
        <v/>
      </c>
      <c r="C6" s="24">
        <f>'2. Revenue'!C22</f>
        <v/>
      </c>
      <c r="D6" s="24">
        <f>'2. Revenue'!D22</f>
        <v/>
      </c>
      <c r="E6" s="24">
        <f>'2. Revenue'!E22</f>
        <v/>
      </c>
      <c r="F6" s="24">
        <f>'2. Revenue'!F22</f>
        <v/>
      </c>
    </row>
    <row r="7">
      <c r="A7" s="9" t="inlineStr">
        <is>
          <t>Gross profit</t>
        </is>
      </c>
      <c r="B7" s="13">
        <f>'5. P&amp;L'!B7</f>
        <v/>
      </c>
      <c r="C7" s="13">
        <f>'5. P&amp;L'!C7</f>
        <v/>
      </c>
      <c r="D7" s="13">
        <f>'5. P&amp;L'!D7</f>
        <v/>
      </c>
      <c r="E7" s="13">
        <f>'5. P&amp;L'!E7</f>
        <v/>
      </c>
      <c r="F7" s="13">
        <f>'5. P&amp;L'!F7</f>
        <v/>
      </c>
    </row>
    <row r="8">
      <c r="A8" s="9" t="inlineStr">
        <is>
          <t>Gross margin %</t>
        </is>
      </c>
      <c r="B8" s="24">
        <f>'5. P&amp;L'!B8</f>
        <v/>
      </c>
      <c r="C8" s="24">
        <f>'5. P&amp;L'!C8</f>
        <v/>
      </c>
      <c r="D8" s="24">
        <f>'5. P&amp;L'!D8</f>
        <v/>
      </c>
      <c r="E8" s="24">
        <f>'5. P&amp;L'!E8</f>
        <v/>
      </c>
      <c r="F8" s="24">
        <f>'5. P&amp;L'!F8</f>
        <v/>
      </c>
    </row>
    <row r="9">
      <c r="A9" s="14" t="inlineStr">
        <is>
          <t>EBITDA</t>
        </is>
      </c>
      <c r="B9" s="23">
        <f>'5. P&amp;L'!B17</f>
        <v/>
      </c>
      <c r="C9" s="23">
        <f>'5. P&amp;L'!C17</f>
        <v/>
      </c>
      <c r="D9" s="23">
        <f>'5. P&amp;L'!D17</f>
        <v/>
      </c>
      <c r="E9" s="23">
        <f>'5. P&amp;L'!E17</f>
        <v/>
      </c>
      <c r="F9" s="23">
        <f>'5. P&amp;L'!F17</f>
        <v/>
      </c>
    </row>
    <row r="10">
      <c r="A10" s="9" t="inlineStr">
        <is>
          <t>EBITDA margin %</t>
        </is>
      </c>
      <c r="B10" s="24">
        <f>'5. P&amp;L'!B18</f>
        <v/>
      </c>
      <c r="C10" s="24">
        <f>'5. P&amp;L'!C18</f>
        <v/>
      </c>
      <c r="D10" s="24">
        <f>'5. P&amp;L'!D18</f>
        <v/>
      </c>
      <c r="E10" s="24">
        <f>'5. P&amp;L'!E18</f>
        <v/>
      </c>
      <c r="F10" s="24">
        <f>'5. P&amp;L'!F18</f>
        <v/>
      </c>
    </row>
    <row r="11">
      <c r="A11" s="9" t="inlineStr">
        <is>
          <t>Cumulative EBITDA</t>
        </is>
      </c>
      <c r="B11" s="13">
        <f>'5. P&amp;L'!B19</f>
        <v/>
      </c>
      <c r="C11" s="13">
        <f>'5. P&amp;L'!C19</f>
        <v/>
      </c>
      <c r="D11" s="13">
        <f>'5. P&amp;L'!D19</f>
        <v/>
      </c>
      <c r="E11" s="13">
        <f>'5. P&amp;L'!E19</f>
        <v/>
      </c>
      <c r="F11" s="13">
        <f>'5. P&amp;L'!F19</f>
        <v/>
      </c>
    </row>
    <row r="12">
      <c r="A12" s="9" t="inlineStr">
        <is>
          <t>Total cases (units)</t>
        </is>
      </c>
      <c r="B12" s="13">
        <f>'3. Unit Economics'!B5</f>
        <v/>
      </c>
      <c r="C12" s="13">
        <f>'3. Unit Economics'!C5</f>
        <v/>
      </c>
      <c r="D12" s="13">
        <f>'3. Unit Economics'!D5</f>
        <v/>
      </c>
      <c r="E12" s="13">
        <f>'3. Unit Economics'!E5</f>
        <v/>
      </c>
      <c r="F12" s="13">
        <f>'3. Unit Economics'!F5</f>
        <v/>
      </c>
    </row>
    <row r="13">
      <c r="A13" s="9" t="inlineStr">
        <is>
          <t>Total headcount</t>
        </is>
      </c>
      <c r="B13" s="13">
        <f>'4. Costs &amp; Headcount'!B10</f>
        <v/>
      </c>
      <c r="C13" s="13">
        <f>'4. Costs &amp; Headcount'!C10</f>
        <v/>
      </c>
      <c r="D13" s="13">
        <f>'4. Costs &amp; Headcount'!D10</f>
        <v/>
      </c>
      <c r="E13" s="13">
        <f>'4. Costs &amp; Headcount'!E10</f>
        <v/>
      </c>
      <c r="F13" s="13">
        <f>'4. Costs &amp; Headcount'!F10</f>
        <v/>
      </c>
    </row>
    <row r="14">
      <c r="A14" s="9" t="inlineStr">
        <is>
          <t>LTV / CAC (x)</t>
        </is>
      </c>
      <c r="B14" s="25">
        <f>'3. Unit Economics'!B18</f>
        <v/>
      </c>
      <c r="C14" s="25">
        <f>'3. Unit Economics'!C18</f>
        <v/>
      </c>
      <c r="D14" s="25">
        <f>'3. Unit Economics'!D18</f>
        <v/>
      </c>
      <c r="E14" s="25">
        <f>'3. Unit Economics'!E18</f>
        <v/>
      </c>
      <c r="F14" s="25">
        <f>'3. Unit Economics'!F18</f>
        <v/>
      </c>
    </row>
    <row r="16">
      <c r="A16" s="14" t="inlineStr">
        <is>
          <t>Revenue in ₹ crore</t>
        </is>
      </c>
      <c r="B16" s="26">
        <f>B5/100</f>
        <v/>
      </c>
      <c r="C16" s="26">
        <f>C5/100</f>
        <v/>
      </c>
      <c r="D16" s="26">
        <f>D5/100</f>
        <v/>
      </c>
      <c r="E16" s="26">
        <f>E5/100</f>
        <v/>
      </c>
      <c r="F16" s="26">
        <f>F5/100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2026-07-08T17:08:00Z</dcterms:created>
  <dcterms:modified xmlns:dcterms="http://purl.org/dc/terms/" xmlns:xsi="http://www.w3.org/2001/XMLSchema-instance" xsi:type="dcterms:W3CDTF">2026-07-08T17:08:00Z</dcterms:modified>
</cp:coreProperties>
</file>