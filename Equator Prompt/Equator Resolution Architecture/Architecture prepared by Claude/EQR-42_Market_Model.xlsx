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 me" sheetId="1" state="visible" r:id="rId1"/>
    <sheet xmlns:r="http://schemas.openxmlformats.org/officeDocument/2006/relationships" name="1. TAM-SAM-SOM" sheetId="2" state="visible" r:id="rId2"/>
    <sheet xmlns:r="http://schemas.openxmlformats.org/officeDocument/2006/relationships" name="2.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"/>
    <numFmt numFmtId="166" formatCode="#,##0.0"/>
    <numFmt numFmtId="167" formatCode="0.00&quot;x&quot;"/>
  </numFmts>
  <fonts count="12">
    <font>
      <name val="Calibri"/>
      <family val="2"/>
      <color theme="1"/>
      <sz val="11"/>
      <scheme val="minor"/>
    </font>
    <font>
      <name val="Arial"/>
      <b val="1"/>
      <color rgb="000B2E4F"/>
      <sz val="14"/>
    </font>
    <font>
      <name val="Arial"/>
      <i val="1"/>
      <color rgb="005A6B7B"/>
      <sz val="9"/>
    </font>
    <font>
      <name val="Arial"/>
      <b val="1"/>
      <color rgb="000B2E4F"/>
    </font>
    <font>
      <name val="Arial"/>
      <sz val="10"/>
    </font>
    <font>
      <name val="Arial"/>
      <b val="1"/>
      <color rgb="000B2E4F"/>
      <sz val="13"/>
    </font>
    <font>
      <name val="Arial"/>
      <b val="1"/>
      <color rgb="00FFFFFF"/>
      <sz val="9.5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B2E4F"/>
      <sz val="10"/>
    </font>
    <font>
      <name val="Arial"/>
      <b val="1"/>
      <color rgb="000000FF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3" fontId="9" fillId="0" borderId="1" pivotButton="0" quotePrefix="0" xfId="0"/>
    <xf numFmtId="165" fontId="8" fillId="0" borderId="1" pivotButton="0" quotePrefix="0" xfId="0"/>
    <xf numFmtId="166" fontId="9" fillId="0" borderId="1" pivotButton="0" quotePrefix="0" xfId="0"/>
    <xf numFmtId="0" fontId="10" fillId="3" borderId="1" pivotButton="0" quotePrefix="0" xfId="0"/>
    <xf numFmtId="3" fontId="7" fillId="3" borderId="1" pivotButton="0" quotePrefix="0" xfId="0"/>
    <xf numFmtId="0" fontId="0" fillId="3" borderId="1" pivotButton="0" quotePrefix="0" xfId="0"/>
    <xf numFmtId="166" fontId="7" fillId="3" borderId="1" pivotButton="0" quotePrefix="0" xfId="0"/>
    <xf numFmtId="0" fontId="7" fillId="0" borderId="0" pivotButton="0" quotePrefix="0" xfId="0"/>
    <xf numFmtId="167" fontId="1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EQUATOR RESOLUTION — Bottoms-Up Market Model (EQR-42)</t>
        </is>
      </c>
    </row>
    <row r="2">
      <c r="A2" s="2" t="inlineStr">
        <is>
          <t>TAM / SAM / SOM by dispute pillar. v1.0 · 9 July 2026 · Confidential. Illustrative — inputs (blue) are estimates; re-verify with EQR-34 sources.</t>
        </is>
      </c>
    </row>
    <row r="4">
      <c r="A4" s="3" t="inlineStr">
        <is>
          <t>Definitions</t>
        </is>
      </c>
      <c r="B4" s="4" t="inlineStr">
        <is>
          <t>TAM = annual disputes universe; SAM = digitally-addressable share; SOM = Equator's obtainable share (target year 3).</t>
        </is>
      </c>
    </row>
    <row r="5">
      <c r="A5" s="3" t="inlineStr">
        <is>
          <t>How to use</t>
        </is>
      </c>
      <c r="B5" s="4" t="inlineStr">
        <is>
          <t>Change BLUE inputs only. Revenue = SOM units × avg revenue/case.</t>
        </is>
      </c>
    </row>
    <row r="6">
      <c r="A6" s="3" t="inlineStr">
        <is>
          <t>Caveat</t>
        </is>
      </c>
      <c r="B6" s="4" t="inlineStr">
        <is>
          <t>Figures are directional estimates for planning, NOT a forecast. Sources in EQR-34.</t>
        </is>
      </c>
    </row>
    <row r="7">
      <c r="A7" s="3" t="inlineStr">
        <is>
          <t>Units</t>
        </is>
      </c>
      <c r="B7" s="4" t="inlineStr">
        <is>
          <t>Disputes in units; revenue in ₹ crore (1 cr = ₹10,000,000).</t>
        </is>
      </c>
    </row>
  </sheetData>
  <mergeCells count="4">
    <mergeCell ref="B5:G5"/>
    <mergeCell ref="B4:G4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5" t="inlineStr">
        <is>
          <t>1 · TAM / SAM / SOM by pillar (target: Year 3)</t>
        </is>
      </c>
    </row>
    <row r="3" ht="42" customHeight="1">
      <c r="A3" s="6" t="inlineStr">
        <is>
          <t>Pillar</t>
        </is>
      </c>
      <c r="B3" s="6" t="inlineStr">
        <is>
          <t>Annual disputes (TAM, units)</t>
        </is>
      </c>
      <c r="C3" s="6" t="inlineStr">
        <is>
          <t>Digitally addressable %</t>
        </is>
      </c>
      <c r="D3" s="6" t="inlineStr">
        <is>
          <t>SAM (units)</t>
        </is>
      </c>
      <c r="E3" s="6" t="inlineStr">
        <is>
          <t>Equator target share %</t>
        </is>
      </c>
      <c r="F3" s="6" t="inlineStr">
        <is>
          <t>SOM (units)</t>
        </is>
      </c>
      <c r="G3" s="6" t="inlineStr">
        <is>
          <t>Avg revenue/case (₹)</t>
        </is>
      </c>
      <c r="H3" s="6" t="inlineStr">
        <is>
          <t>SOM revenue (₹ cr)</t>
        </is>
      </c>
    </row>
    <row r="4">
      <c r="A4" s="7" t="inlineStr">
        <is>
          <t>NBFC / lending</t>
        </is>
      </c>
      <c r="B4" s="8" t="n">
        <v>50000000</v>
      </c>
      <c r="C4" s="9" t="n">
        <v>0.3</v>
      </c>
      <c r="D4" s="10">
        <f>B4*C4</f>
        <v/>
      </c>
      <c r="E4" s="9" t="n">
        <v>0.01</v>
      </c>
      <c r="F4" s="10">
        <f>D4*E4</f>
        <v/>
      </c>
      <c r="G4" s="11" t="n">
        <v>1100</v>
      </c>
      <c r="H4" s="12">
        <f>F4*G4/10000000</f>
        <v/>
      </c>
    </row>
    <row r="5">
      <c r="A5" s="7" t="inlineStr">
        <is>
          <t>Consumer</t>
        </is>
      </c>
      <c r="B5" s="8" t="n">
        <v>20000000</v>
      </c>
      <c r="C5" s="9" t="n">
        <v>0.2</v>
      </c>
      <c r="D5" s="10">
        <f>B5*C5</f>
        <v/>
      </c>
      <c r="E5" s="9" t="n">
        <v>0.006</v>
      </c>
      <c r="F5" s="10">
        <f>D5*E5</f>
        <v/>
      </c>
      <c r="G5" s="11" t="n">
        <v>850</v>
      </c>
      <c r="H5" s="12">
        <f>F5*G5/10000000</f>
        <v/>
      </c>
    </row>
    <row r="6">
      <c r="A6" s="7" t="inlineStr">
        <is>
          <t>Commercial / MSME</t>
        </is>
      </c>
      <c r="B6" s="8" t="n">
        <v>5000000</v>
      </c>
      <c r="C6" s="9" t="n">
        <v>0.25</v>
      </c>
      <c r="D6" s="10">
        <f>B6*C6</f>
        <v/>
      </c>
      <c r="E6" s="9" t="n">
        <v>0.015</v>
      </c>
      <c r="F6" s="10">
        <f>D6*E6</f>
        <v/>
      </c>
      <c r="G6" s="11" t="n">
        <v>17000</v>
      </c>
      <c r="H6" s="12">
        <f>F6*G6/10000000</f>
        <v/>
      </c>
    </row>
    <row r="7">
      <c r="A7" s="7" t="inlineStr">
        <is>
          <t>Family / matrimonial</t>
        </is>
      </c>
      <c r="B7" s="8" t="n">
        <v>1500000</v>
      </c>
      <c r="C7" s="9" t="n">
        <v>0.1</v>
      </c>
      <c r="D7" s="10">
        <f>B7*C7</f>
        <v/>
      </c>
      <c r="E7" s="9" t="n">
        <v>0.01</v>
      </c>
      <c r="F7" s="10">
        <f>D7*E7</f>
        <v/>
      </c>
      <c r="G7" s="11" t="n">
        <v>11500</v>
      </c>
      <c r="H7" s="12">
        <f>F7*G7/10000000</f>
        <v/>
      </c>
    </row>
    <row r="8">
      <c r="A8" s="7" t="inlineStr">
        <is>
          <t>Securities</t>
        </is>
      </c>
      <c r="B8" s="8" t="n">
        <v>300000</v>
      </c>
      <c r="C8" s="9" t="n">
        <v>0.6</v>
      </c>
      <c r="D8" s="10">
        <f>B8*C8</f>
        <v/>
      </c>
      <c r="E8" s="9" t="n">
        <v>0.03</v>
      </c>
      <c r="F8" s="10">
        <f>D8*E8</f>
        <v/>
      </c>
      <c r="G8" s="11" t="n">
        <v>9000</v>
      </c>
      <c r="H8" s="12">
        <f>F8*G8/10000000</f>
        <v/>
      </c>
    </row>
    <row r="9">
      <c r="A9" s="7" t="inlineStr">
        <is>
          <t>Grievance / POSH</t>
        </is>
      </c>
      <c r="B9" s="8" t="n">
        <v>600000</v>
      </c>
      <c r="C9" s="9" t="n">
        <v>0.3</v>
      </c>
      <c r="D9" s="10">
        <f>B9*C9</f>
        <v/>
      </c>
      <c r="E9" s="9" t="n">
        <v>0.02</v>
      </c>
      <c r="F9" s="10">
        <f>D9*E9</f>
        <v/>
      </c>
      <c r="G9" s="11" t="n">
        <v>4000</v>
      </c>
      <c r="H9" s="12">
        <f>F9*G9/10000000</f>
        <v/>
      </c>
    </row>
    <row r="10">
      <c r="A10" s="7" t="inlineStr">
        <is>
          <t>International</t>
        </is>
      </c>
      <c r="B10" s="8" t="n">
        <v>80000</v>
      </c>
      <c r="C10" s="9" t="n">
        <v>0.4</v>
      </c>
      <c r="D10" s="10">
        <f>B10*C10</f>
        <v/>
      </c>
      <c r="E10" s="9" t="n">
        <v>0.02</v>
      </c>
      <c r="F10" s="10">
        <f>D10*E10</f>
        <v/>
      </c>
      <c r="G10" s="11" t="n">
        <v>145000</v>
      </c>
      <c r="H10" s="12">
        <f>F10*G10/10000000</f>
        <v/>
      </c>
    </row>
    <row r="11">
      <c r="A11" s="13" t="inlineStr">
        <is>
          <t>TOTAL</t>
        </is>
      </c>
      <c r="B11" s="14">
        <f>SUM(B4:B10)</f>
        <v/>
      </c>
      <c r="C11" s="15" t="n"/>
      <c r="D11" s="14">
        <f>SUM(D4:D10)</f>
        <v/>
      </c>
      <c r="E11" s="15" t="n"/>
      <c r="F11" s="14">
        <f>SUM(F4:F10)</f>
        <v/>
      </c>
      <c r="G11" s="15" t="n"/>
      <c r="H11" s="16">
        <f>SUM(H4:H10)</f>
        <v/>
      </c>
    </row>
    <row r="13">
      <c r="A13" s="2" t="inlineStr">
        <is>
          <t>SOM revenue at Year-3 target share (bottoms-up). Cross-check with EQR-17 driver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5" t="inlineStr">
        <is>
          <t>2 · Sensitivity — total SOM revenue (₹ cr) vs. blended target share</t>
        </is>
      </c>
    </row>
    <row r="3">
      <c r="A3" s="17" t="inlineStr">
        <is>
          <t>Multiplier on target share →</t>
        </is>
      </c>
      <c r="B3" s="18" t="n">
        <v>0.5</v>
      </c>
      <c r="C3" s="18" t="n">
        <v>0.75</v>
      </c>
      <c r="D3" s="18" t="n">
        <v>1</v>
      </c>
      <c r="E3" s="18" t="n">
        <v>1.5</v>
      </c>
      <c r="F3" s="18" t="n">
        <v>2</v>
      </c>
    </row>
    <row r="4">
      <c r="A4" s="7" t="inlineStr">
        <is>
          <t>Total SOM revenue (₹ cr)</t>
        </is>
      </c>
      <c r="B4" s="12">
        <f>'1. TAM-SAM-SOM'!H11*0.5</f>
        <v/>
      </c>
      <c r="C4" s="12">
        <f>'1. TAM-SAM-SOM'!H11*0.75</f>
        <v/>
      </c>
      <c r="D4" s="12">
        <f>'1. TAM-SAM-SOM'!H11*1.0</f>
        <v/>
      </c>
      <c r="E4" s="12">
        <f>'1. TAM-SAM-SOM'!H11*1.5</f>
        <v/>
      </c>
      <c r="F4" s="12">
        <f>'1. TAM-SAM-SOM'!H11*2.0</f>
        <v/>
      </c>
    </row>
    <row r="6">
      <c r="A6" s="2" t="inlineStr">
        <is>
          <t>Illustrative; base = 1.00x uses the Year-3 target shares on ‘1. TAM-SAM-SOM'.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2026-07-08T23:43:33Z</dcterms:created>
  <dcterms:modified xmlns:dcterms="http://purl.org/dc/terms/" xmlns:xsi="http://www.w3.org/2001/XMLSchema-instance" xsi:type="dcterms:W3CDTF">2026-07-08T23:43:33Z</dcterms:modified>
</cp:coreProperties>
</file>