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Parenting Log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3" fontId="6" fillId="3" borderId="1" pivotButton="0" quotePrefix="0" xfId="0"/>
    <xf numFmtId="0" fontId="3" fillId="0" borderId="1" pivotButton="0" quotePrefix="0" xfId="0"/>
    <xf numFmtId="1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Settlement Compliance Tracker</t>
        </is>
      </c>
    </row>
    <row r="3">
      <c r="B3" s="2" t="inlineStr">
        <is>
          <t>Track whether a Mediated Settlement Agreement is actually being honoured after signing.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'Payments': one row per maintenance/settlement instalment. Fill blue cells; Status updates itself.</t>
        </is>
      </c>
    </row>
    <row r="8">
      <c r="B8" s="3" t="inlineStr">
        <is>
          <t>- 'Parenting Log': record scheduled contact/visitation and whether it happened.</t>
        </is>
      </c>
    </row>
    <row r="9">
      <c r="B9" s="3" t="inlineStr">
        <is>
          <t>- 'Dashboard': live summary — total due, paid, arrears, compliance %.</t>
        </is>
      </c>
    </row>
    <row r="10">
      <c r="B10" s="3" t="inlineStr"/>
    </row>
    <row r="11">
      <c r="B11" s="4" t="inlineStr">
        <is>
          <t>WHY IT MATTERS</t>
        </is>
      </c>
    </row>
    <row r="12">
      <c r="B12" s="3" t="inlineStr">
        <is>
          <t>Post-settlement default is the biggest failure in family ADR. Early detection lets Equator trigger the</t>
        </is>
      </c>
    </row>
    <row r="13">
      <c r="B13" s="3" t="inlineStr">
        <is>
          <t>return-to-mediation / variation clause before enforcement. Amounts due are enforceable as a decree (s.27).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Settlement Compliance — Payments</t>
        </is>
      </c>
    </row>
    <row r="3">
      <c r="A3" s="5" t="inlineStr">
        <is>
          <t>Due date</t>
        </is>
      </c>
      <c r="B3" s="5" t="inlineStr">
        <is>
          <t>Type</t>
        </is>
      </c>
      <c r="C3" s="5" t="inlineStr">
        <is>
          <t>Amount due (₹)</t>
        </is>
      </c>
      <c r="D3" s="5" t="inlineStr">
        <is>
          <t>Amount paid (₹)</t>
        </is>
      </c>
      <c r="E3" s="5" t="inlineStr">
        <is>
          <t>Date paid</t>
        </is>
      </c>
      <c r="F3" s="5" t="inlineStr">
        <is>
          <t>Status</t>
        </is>
      </c>
      <c r="G3" s="5" t="inlineStr">
        <is>
          <t>Days late</t>
        </is>
      </c>
    </row>
    <row r="4">
      <c r="A4" s="6" t="inlineStr">
        <is>
          <t>2026-08-05</t>
        </is>
      </c>
      <c r="B4" s="6" t="inlineStr">
        <is>
          <t>Spousal maintenance</t>
        </is>
      </c>
      <c r="C4" s="7" t="n">
        <v>40000</v>
      </c>
      <c r="D4" s="7" t="n">
        <v>40000</v>
      </c>
      <c r="E4" s="6" t="inlineStr">
        <is>
          <t>2026-08-04</t>
        </is>
      </c>
      <c r="F4" s="8">
        <f>IF(D4&gt;=C4,"Paid",IF(A4&lt;TODAY(),"OVERDUE","Upcoming"))</f>
        <v/>
      </c>
      <c r="G4" s="9">
        <f>IF(F4="OVERDUE",TODAY()-A4,0)</f>
        <v/>
      </c>
    </row>
    <row r="5">
      <c r="A5" s="6" t="inlineStr">
        <is>
          <t>2026-09-05</t>
        </is>
      </c>
      <c r="B5" s="6" t="inlineStr">
        <is>
          <t>Spousal maintenance</t>
        </is>
      </c>
      <c r="C5" s="7" t="n">
        <v>40000</v>
      </c>
      <c r="D5" s="7" t="n">
        <v>0</v>
      </c>
      <c r="E5" s="6" t="inlineStr"/>
      <c r="F5" s="8">
        <f>IF(D5&gt;=C5,"Paid",IF(A5&lt;TODAY(),"OVERDUE","Upcoming"))</f>
        <v/>
      </c>
      <c r="G5" s="9">
        <f>IF(F5="OVERDUE",TODAY()-A5,0)</f>
        <v/>
      </c>
    </row>
    <row r="6">
      <c r="A6" s="6" t="inlineStr">
        <is>
          <t>2026-09-05</t>
        </is>
      </c>
      <c r="B6" s="6" t="inlineStr">
        <is>
          <t>Child maintenance</t>
        </is>
      </c>
      <c r="C6" s="7" t="n">
        <v>25000</v>
      </c>
      <c r="D6" s="7" t="n">
        <v>25000</v>
      </c>
      <c r="E6" s="6" t="inlineStr">
        <is>
          <t>2026-09-06</t>
        </is>
      </c>
      <c r="F6" s="8">
        <f>IF(D6&gt;=C6,"Paid",IF(A6&lt;TODAY(),"OVERDUE","Upcoming"))</f>
        <v/>
      </c>
      <c r="G6" s="9">
        <f>IF(F6="OVERDUE",TODAY()-A6,0)</f>
        <v/>
      </c>
    </row>
    <row r="7">
      <c r="A7" s="10" t="n"/>
      <c r="B7" s="10" t="n"/>
      <c r="C7" s="10" t="n"/>
      <c r="D7" s="10" t="n"/>
      <c r="E7" s="10" t="n"/>
      <c r="F7" s="8">
        <f>IF(C7="","",IF(D7&gt;=C7,"Paid",IF(A7&lt;TODAY(),"OVERDUE","Upcoming")))</f>
        <v/>
      </c>
      <c r="G7" s="9">
        <f>IF(F7="OVERDUE",TODAY()-A7,0)</f>
        <v/>
      </c>
    </row>
    <row r="8">
      <c r="A8" s="10" t="n"/>
      <c r="B8" s="10" t="n"/>
      <c r="C8" s="10" t="n"/>
      <c r="D8" s="10" t="n"/>
      <c r="E8" s="10" t="n"/>
      <c r="F8" s="8">
        <f>IF(C8="","",IF(D8&gt;=C8,"Paid",IF(A8&lt;TODAY(),"OVERDUE","Upcoming")))</f>
        <v/>
      </c>
      <c r="G8" s="9">
        <f>IF(F8="OVERDUE",TODAY()-A8,0)</f>
        <v/>
      </c>
    </row>
    <row r="9">
      <c r="A9" s="10" t="n"/>
      <c r="B9" s="10" t="n"/>
      <c r="C9" s="10" t="n"/>
      <c r="D9" s="10" t="n"/>
      <c r="E9" s="10" t="n"/>
      <c r="F9" s="8">
        <f>IF(C9="","",IF(D9&gt;=C9,"Paid",IF(A9&lt;TODAY(),"OVERDUE","Upcoming")))</f>
        <v/>
      </c>
      <c r="G9" s="9">
        <f>IF(F9="OVERDUE",TODAY()-A9,0)</f>
        <v/>
      </c>
    </row>
    <row r="10">
      <c r="A10" s="10" t="n"/>
      <c r="B10" s="10" t="n"/>
      <c r="C10" s="10" t="n"/>
      <c r="D10" s="10" t="n"/>
      <c r="E10" s="10" t="n"/>
      <c r="F10" s="8">
        <f>IF(C10="","",IF(D10&gt;=C10,"Paid",IF(A10&lt;TODAY(),"OVERDUE","Upcoming")))</f>
        <v/>
      </c>
      <c r="G10" s="9">
        <f>IF(F10="OVERDUE",TODAY()-A10,0)</f>
        <v/>
      </c>
    </row>
    <row r="11">
      <c r="A11" s="10" t="n"/>
      <c r="B11" s="10" t="n"/>
      <c r="C11" s="10" t="n"/>
      <c r="D11" s="10" t="n"/>
      <c r="E11" s="10" t="n"/>
      <c r="F11" s="8">
        <f>IF(C11="","",IF(D11&gt;=C11,"Paid",IF(A11&lt;TODAY(),"OVERDUE","Upcoming")))</f>
        <v/>
      </c>
      <c r="G11" s="9">
        <f>IF(F11="OVERDUE",TODAY()-A11,0)</f>
        <v/>
      </c>
    </row>
    <row r="12">
      <c r="A12" s="10" t="n"/>
      <c r="B12" s="10" t="n"/>
      <c r="C12" s="10" t="n"/>
      <c r="D12" s="10" t="n"/>
      <c r="E12" s="10" t="n"/>
      <c r="F12" s="8">
        <f>IF(C12="","",IF(D12&gt;=C12,"Paid",IF(A12&lt;TODAY(),"OVERDUE","Upcoming")))</f>
        <v/>
      </c>
      <c r="G12" s="9">
        <f>IF(F12="OVERDUE",TODAY()-A12,0)</f>
        <v/>
      </c>
    </row>
    <row r="13">
      <c r="A13" s="10" t="n"/>
      <c r="B13" s="10" t="n"/>
      <c r="C13" s="10" t="n"/>
      <c r="D13" s="10" t="n"/>
      <c r="E13" s="10" t="n"/>
      <c r="F13" s="8">
        <f>IF(C13="","",IF(D13&gt;=C13,"Paid",IF(A13&lt;TODAY(),"OVERDUE","Upcoming")))</f>
        <v/>
      </c>
      <c r="G13" s="9">
        <f>IF(F13="OVERDUE",TODAY()-A13,0)</f>
        <v/>
      </c>
    </row>
    <row r="14">
      <c r="A14" s="10" t="n"/>
      <c r="B14" s="10" t="n"/>
      <c r="C14" s="10" t="n"/>
      <c r="D14" s="10" t="n"/>
      <c r="E14" s="10" t="n"/>
      <c r="F14" s="8">
        <f>IF(C14="","",IF(D14&gt;=C14,"Paid",IF(A14&lt;TODAY(),"OVERDUE","Upcoming")))</f>
        <v/>
      </c>
      <c r="G14" s="9">
        <f>IF(F14="OVERDUE",TODAY()-A14,0)</f>
        <v/>
      </c>
    </row>
    <row r="15">
      <c r="A15" s="10" t="n"/>
      <c r="B15" s="10" t="n"/>
      <c r="C15" s="10" t="n"/>
      <c r="D15" s="10" t="n"/>
      <c r="E15" s="10" t="n"/>
      <c r="F15" s="8">
        <f>IF(C15="","",IF(D15&gt;=C15,"Paid",IF(A15&lt;TODAY(),"OVERDUE","Upcoming")))</f>
        <v/>
      </c>
      <c r="G15" s="9">
        <f>IF(F15="OVERDUE",TODAY()-A15,0)</f>
        <v/>
      </c>
    </row>
    <row r="16">
      <c r="A16" s="10" t="n"/>
      <c r="B16" s="10" t="n"/>
      <c r="C16" s="10" t="n"/>
      <c r="D16" s="10" t="n"/>
      <c r="E16" s="10" t="n"/>
      <c r="F16" s="8">
        <f>IF(C16="","",IF(D16&gt;=C16,"Paid",IF(A16&lt;TODAY(),"OVERDUE","Upcoming")))</f>
        <v/>
      </c>
      <c r="G16" s="9">
        <f>IF(F16="OVERDUE",TODAY()-A16,0)</f>
        <v/>
      </c>
    </row>
    <row r="17">
      <c r="A17" s="10" t="n"/>
      <c r="B17" s="10" t="n"/>
      <c r="C17" s="10" t="n"/>
      <c r="D17" s="10" t="n"/>
      <c r="E17" s="10" t="n"/>
      <c r="F17" s="8">
        <f>IF(C17="","",IF(D17&gt;=C17,"Paid",IF(A17&lt;TODAY(),"OVERDUE","Upcoming")))</f>
        <v/>
      </c>
      <c r="G17" s="9">
        <f>IF(F17="OVERDUE",TODAY()-A17,0)</f>
        <v/>
      </c>
    </row>
    <row r="18">
      <c r="A18" s="10" t="n"/>
      <c r="B18" s="10" t="n"/>
      <c r="C18" s="10" t="n"/>
      <c r="D18" s="10" t="n"/>
      <c r="E18" s="10" t="n"/>
      <c r="F18" s="8">
        <f>IF(C18="","",IF(D18&gt;=C18,"Paid",IF(A18&lt;TODAY(),"OVERDUE","Upcoming")))</f>
        <v/>
      </c>
      <c r="G18" s="9">
        <f>IF(F18="OVERDUE",TODAY()-A18,0)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44" customWidth="1" min="4" max="4"/>
  </cols>
  <sheetData>
    <row r="1">
      <c r="A1" s="1" t="inlineStr">
        <is>
          <t>Parenting / Visitation Log</t>
        </is>
      </c>
    </row>
    <row r="3">
      <c r="A3" s="5" t="inlineStr">
        <is>
          <t>Date</t>
        </is>
      </c>
      <c r="B3" s="5" t="inlineStr">
        <is>
          <t>Scheduled contact</t>
        </is>
      </c>
      <c r="C3" s="5" t="inlineStr">
        <is>
          <t>Occurred? (Y/N)</t>
        </is>
      </c>
      <c r="D3" s="5" t="inlineStr">
        <is>
          <t>Notes</t>
        </is>
      </c>
    </row>
    <row r="4">
      <c r="A4" s="6" t="inlineStr">
        <is>
          <t>2026-08-10</t>
        </is>
      </c>
      <c r="B4" s="6" t="inlineStr">
        <is>
          <t>Alternate Saturday, 10am-6pm</t>
        </is>
      </c>
      <c r="C4" s="6" t="inlineStr">
        <is>
          <t>Y</t>
        </is>
      </c>
      <c r="D4" s="10" t="n"/>
    </row>
    <row r="5">
      <c r="A5" s="6" t="inlineStr">
        <is>
          <t>2026-08-24</t>
        </is>
      </c>
      <c r="B5" s="6" t="inlineStr">
        <is>
          <t>Alternate Saturday, 10am-6pm</t>
        </is>
      </c>
      <c r="C5" s="6" t="inlineStr">
        <is>
          <t>N</t>
        </is>
      </c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</cols>
  <sheetData>
    <row r="2">
      <c r="B2" s="1" t="inlineStr">
        <is>
          <t>Compliance Dashboard</t>
        </is>
      </c>
    </row>
    <row r="5">
      <c r="B5" s="11" t="inlineStr">
        <is>
          <t>Total amount due (₹)</t>
        </is>
      </c>
      <c r="C5" s="12">
        <f>SUM(Payments!C4:C18)</f>
        <v/>
      </c>
    </row>
    <row r="6">
      <c r="B6" s="11" t="inlineStr">
        <is>
          <t>Total amount paid (₹)</t>
        </is>
      </c>
      <c r="C6" s="12">
        <f>SUM(Payments!D4:D18)</f>
        <v/>
      </c>
    </row>
    <row r="7">
      <c r="B7" s="11" t="inlineStr">
        <is>
          <t>Arrears outstanding (₹)</t>
        </is>
      </c>
      <c r="C7" s="12">
        <f>C5-C6</f>
        <v/>
      </c>
    </row>
    <row r="8">
      <c r="B8" s="11" t="inlineStr">
        <is>
          <t>Payment compliance %</t>
        </is>
      </c>
      <c r="C8" s="13">
        <f>IFERROR(C6/C5,0)</f>
        <v/>
      </c>
    </row>
    <row r="9">
      <c r="B9" s="11" t="inlineStr">
        <is>
          <t>Instalments overdue (count)</t>
        </is>
      </c>
      <c r="C9" s="9">
        <f>COUNTIF(Payments!F4:F18,"OVERDUE")</f>
        <v/>
      </c>
    </row>
    <row r="10">
      <c r="B10" s="11" t="inlineStr">
        <is>
          <t>Scheduled contacts logged</t>
        </is>
      </c>
      <c r="C10" s="9">
        <f>COUNTA('Parenting Log'!A4:A17)</f>
        <v/>
      </c>
    </row>
    <row r="11">
      <c r="B11" s="11" t="inlineStr">
        <is>
          <t>Contacts occurred</t>
        </is>
      </c>
      <c r="C11" s="9">
        <f>COUNTIF('Parenting Log'!C4:C17,"Y")</f>
        <v/>
      </c>
    </row>
    <row r="13">
      <c r="B13" s="2" t="inlineStr">
        <is>
          <t>Compliance % = amount paid ÷ amount due. Investigate any OVERDUE line and trigger the return-to-mediation clause.</t>
        </is>
      </c>
    </row>
  </sheetData>
  <mergeCells count="1"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73E69F-18C4-436A-9852-707F48BCE0AD}"/>
</file>

<file path=customXml/itemProps2.xml><?xml version="1.0" encoding="utf-8"?>
<ds:datastoreItem xmlns:ds="http://schemas.openxmlformats.org/officeDocument/2006/customXml" ds:itemID="{302CC789-649E-4A8C-A639-01FBCB861A74}"/>
</file>

<file path=customXml/itemProps3.xml><?xml version="1.0" encoding="utf-8"?>
<ds:datastoreItem xmlns:ds="http://schemas.openxmlformats.org/officeDocument/2006/customXml" ds:itemID="{FE9B43C4-490C-4B5F-83B0-660064D592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2026-07-19T14:04:33Z</dcterms:created>
  <dcterms:modified xsi:type="dcterms:W3CDTF">2026-07-19T14:04:33Z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