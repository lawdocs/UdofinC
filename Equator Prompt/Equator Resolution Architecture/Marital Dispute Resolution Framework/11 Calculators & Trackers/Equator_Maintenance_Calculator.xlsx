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lculator" sheetId="2" state="visible" r:id="rId2"/>
    <sheet xmlns:r="http://schemas.openxmlformats.org/officeDocument/2006/relationships" name="Rajnesh Fa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  <font>
      <name val="Arial"/>
      <color rgb="FF0000FF"/>
      <sz val="10"/>
    </font>
  </fonts>
  <fills count="6">
    <fill>
      <patternFill/>
    </fill>
    <fill>
      <patternFill patternType="gray125"/>
    </fill>
    <fill>
      <patternFill patternType="solid">
        <fgColor rgb="FF1E7A8C"/>
      </patternFill>
    </fill>
    <fill>
      <patternFill patternType="solid">
        <fgColor rgb="FFFFF6D5"/>
      </patternFill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3" fontId="6" fillId="3" borderId="1" pivotButton="0" quotePrefix="0" xfId="0"/>
    <xf numFmtId="1" fontId="6" fillId="3" borderId="1" pivotButton="0" quotePrefix="0" xfId="0"/>
    <xf numFmtId="164" fontId="6" fillId="3" borderId="1" pivotButton="0" quotePrefix="0" xfId="0"/>
    <xf numFmtId="3" fontId="3" fillId="0" borderId="1" pivotButton="0" quotePrefix="0" xfId="0"/>
    <xf numFmtId="3" fontId="4" fillId="0" borderId="1" pivotButton="0" quotePrefix="0" xfId="0"/>
    <xf numFmtId="164" fontId="3" fillId="0" borderId="1" pivotButton="0" quotePrefix="0" xfId="0"/>
    <xf numFmtId="0" fontId="3" fillId="0" borderId="1" pivotButton="0" quotePrefix="0" xfId="0"/>
    <xf numFmtId="0" fontId="5" fillId="4" borderId="1" pivotButton="0" quotePrefix="0" xfId="0"/>
    <xf numFmtId="0" fontId="0" fillId="0" borderId="1" pivotButton="0" quotePrefix="0" xfId="0"/>
    <xf numFmtId="0" fontId="3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Equator Resolution — Maintenance Calculator</t>
        </is>
      </c>
    </row>
    <row r="3">
      <c r="B3" s="2" t="inlineStr">
        <is>
          <t>A transparent negotiation aid. India has NO statutory maintenance formula; this depersonalises the number.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Edit the blue/yellow cells on 'Calculator'. Results update automatically.</t>
        </is>
      </c>
    </row>
    <row r="8">
      <c r="B8" s="3" t="inlineStr">
        <is>
          <t>- It produces an INDICATIVE range (needs-based to guideline), capped by the payer's disposable capacity.</t>
        </is>
      </c>
    </row>
    <row r="9">
      <c r="B9" s="3" t="inlineStr">
        <is>
          <t>- Use it in caucus to move from positions to a fair, evidenced figure — not as a binding formula.</t>
        </is>
      </c>
    </row>
    <row r="10">
      <c r="B10" s="3" t="inlineStr"/>
    </row>
    <row r="11">
      <c r="B11" s="4" t="inlineStr">
        <is>
          <t>BASIS</t>
        </is>
      </c>
    </row>
    <row r="12">
      <c r="B12" s="3" t="inlineStr">
        <is>
          <t>Factors follow Rajnesh v. Neha, (2021) 2 SCC 324 (status, reasonable needs, income, liabilities,</t>
        </is>
      </c>
    </row>
    <row r="13">
      <c r="B13" s="3" t="inlineStr">
        <is>
          <t>earning capacity, standard of living, dependants). The guideline percentages are editable levers, not law.</t>
        </is>
      </c>
    </row>
    <row r="14">
      <c r="B14" s="3" t="inlineStr">
        <is>
          <t>Always file the Affidavit of Assets &amp; Liabilities (Form F-07).</t>
        </is>
      </c>
    </row>
    <row r="15">
      <c r="B15" s="3" t="inlineStr"/>
    </row>
    <row r="16">
      <c r="B16" s="4" t="inlineStr">
        <is>
          <t>DISCLAIMER</t>
        </is>
      </c>
    </row>
    <row r="17">
      <c r="B17" s="3" t="inlineStr">
        <is>
          <t>Indicative only; not legal advice and not a court formula. The mediator remains neutral and gives no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8" customWidth="1" min="3" max="3"/>
  </cols>
  <sheetData>
    <row r="2">
      <c r="B2" s="1" t="inlineStr">
        <is>
          <t>Maintenance Calculator</t>
        </is>
      </c>
    </row>
    <row r="3">
      <c r="B3" s="2" t="inlineStr">
        <is>
          <t>Blue = your inputs; yellow = adjustable guideline levers; black = calculated.</t>
        </is>
      </c>
    </row>
    <row r="5">
      <c r="B5" s="5" t="inlineStr">
        <is>
          <t>INPUTS  (₹ per month unless stated)</t>
        </is>
      </c>
    </row>
    <row r="6">
      <c r="B6" s="3" t="inlineStr">
        <is>
          <t>Payer net monthly income</t>
        </is>
      </c>
      <c r="C6" s="6" t="n">
        <v>150000</v>
      </c>
    </row>
    <row r="7">
      <c r="B7" s="3" t="inlineStr">
        <is>
          <t>Payee net monthly income (0 if none)</t>
        </is>
      </c>
      <c r="C7" s="6" t="n">
        <v>20000</v>
      </c>
    </row>
    <row r="8">
      <c r="B8" s="3" t="inlineStr">
        <is>
          <t>Number of dependent children</t>
        </is>
      </c>
      <c r="C8" s="7" t="n">
        <v>1</v>
      </c>
    </row>
    <row r="9">
      <c r="B9" s="3" t="inlineStr">
        <is>
          <t>Children's reasonable monthly needs (total)</t>
        </is>
      </c>
      <c r="C9" s="6" t="n">
        <v>25000</v>
      </c>
    </row>
    <row r="10">
      <c r="B10" s="3" t="inlineStr">
        <is>
          <t>Payee's reasonable monthly needs</t>
        </is>
      </c>
      <c r="C10" s="6" t="n">
        <v>45000</v>
      </c>
    </row>
    <row r="11">
      <c r="B11" s="3" t="inlineStr">
        <is>
          <t>Payer's essential monthly liabilities (EMIs, dependants)</t>
        </is>
      </c>
      <c r="C11" s="6" t="n">
        <v>20000</v>
      </c>
    </row>
    <row r="12">
      <c r="B12" s="3" t="inlineStr">
        <is>
          <t>Duration of marriage (years)</t>
        </is>
      </c>
      <c r="C12" s="7" t="n">
        <v>10</v>
      </c>
    </row>
    <row r="14">
      <c r="B14" s="5" t="inlineStr">
        <is>
          <t>GUIDELINE LEVERS  (editable — not statutory)</t>
        </is>
      </c>
    </row>
    <row r="15">
      <c r="B15" s="3" t="inlineStr">
        <is>
          <t>Spousal guideline (% of payer net income)</t>
        </is>
      </c>
      <c r="C15" s="8" t="n">
        <v>0.25</v>
      </c>
    </row>
    <row r="16">
      <c r="B16" s="3" t="inlineStr">
        <is>
          <t>Child maintenance guideline (% of payer net, total)</t>
        </is>
      </c>
      <c r="C16" s="8" t="n">
        <v>0.15</v>
      </c>
    </row>
    <row r="17">
      <c r="B17" s="3" t="inlineStr">
        <is>
          <t>Payer's own reasonable needs (% of net income)</t>
        </is>
      </c>
      <c r="C17" s="8" t="n">
        <v>0.35</v>
      </c>
    </row>
    <row r="19">
      <c r="B19" s="5" t="inlineStr">
        <is>
          <t>INDICATIVE OUTPUT</t>
        </is>
      </c>
    </row>
    <row r="20">
      <c r="B20" s="3" t="inlineStr">
        <is>
          <t>Income gap (payer − payee)</t>
        </is>
      </c>
      <c r="C20" s="9">
        <f>C6-C7</f>
        <v/>
      </c>
    </row>
    <row r="21">
      <c r="B21" s="3" t="inlineStr">
        <is>
          <t>Payer disposable capacity (net − liabilities − own needs)</t>
        </is>
      </c>
      <c r="C21" s="9">
        <f>C6-C11-C17*C6</f>
        <v/>
      </c>
    </row>
    <row r="22">
      <c r="B22" s="3" t="inlineStr">
        <is>
          <t>Spousal — needs-based (payee needs − payee income)</t>
        </is>
      </c>
      <c r="C22" s="9">
        <f>MAX(0,C10-C7)</f>
        <v/>
      </c>
    </row>
    <row r="23">
      <c r="B23" s="3" t="inlineStr">
        <is>
          <t>Spousal — guideline (% × payer net)</t>
        </is>
      </c>
      <c r="C23" s="9">
        <f>C15*C6</f>
        <v/>
      </c>
    </row>
    <row r="24">
      <c r="B24" s="3" t="inlineStr">
        <is>
          <t>Suggested spousal — LOW (needs, capped by capacity)</t>
        </is>
      </c>
      <c r="C24" s="9">
        <f>MIN(C21,C22)</f>
        <v/>
      </c>
    </row>
    <row r="25">
      <c r="B25" s="3" t="inlineStr">
        <is>
          <t>Suggested spousal — HIGH (guideline, capped by capacity)</t>
        </is>
      </c>
      <c r="C25" s="9">
        <f>MIN(C21,C23)</f>
        <v/>
      </c>
    </row>
    <row r="26">
      <c r="B26" s="4" t="inlineStr">
        <is>
          <t>Suggested spousal — LIKELY (midpoint)</t>
        </is>
      </c>
      <c r="C26" s="10">
        <f>MIN(C21,(C22+C23)/2)</f>
        <v/>
      </c>
    </row>
    <row r="28">
      <c r="B28" s="3" t="inlineStr">
        <is>
          <t>Child maintenance — needs</t>
        </is>
      </c>
      <c r="C28" s="9">
        <f>C9</f>
        <v/>
      </c>
    </row>
    <row r="29">
      <c r="B29" s="3" t="inlineStr">
        <is>
          <t>Child maintenance — guideline (% × payer net)</t>
        </is>
      </c>
      <c r="C29" s="9">
        <f>C16*C6</f>
        <v/>
      </c>
    </row>
    <row r="30">
      <c r="B30" s="4" t="inlineStr">
        <is>
          <t>Suggested child maintenance (needs, within remaining capacity)</t>
        </is>
      </c>
      <c r="C30" s="10">
        <f>MIN(C9,MAX(0,C21-C26))</f>
        <v/>
      </c>
    </row>
    <row r="32">
      <c r="B32" s="4" t="inlineStr">
        <is>
          <t>TOTAL indicative monthly (likely spousal + child)</t>
        </is>
      </c>
      <c r="C32" s="10">
        <f>C26+C30</f>
        <v/>
      </c>
    </row>
    <row r="33">
      <c r="B33" s="3" t="inlineStr">
        <is>
          <t>As % of payer net income</t>
        </is>
      </c>
      <c r="C33" s="11">
        <f>IFERROR(C32/C6,0)</f>
        <v/>
      </c>
    </row>
    <row r="34">
      <c r="B34" s="3" t="inlineStr">
        <is>
          <t>Capacity check</t>
        </is>
      </c>
      <c r="C34" s="12">
        <f>IF(C32&gt;C21,"Exceeds payer disposable capacity - revisit","Within payer capacity")</f>
        <v/>
      </c>
    </row>
    <row r="36">
      <c r="B36" s="2" t="inlineStr">
        <is>
          <t>Note: A one-time (lump-sum) settlement can be modelled as the monthly figure capitalised over an agreed horizon.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48" customWidth="1" min="3" max="3"/>
  </cols>
  <sheetData>
    <row r="2">
      <c r="B2" s="1" t="inlineStr">
        <is>
          <t>Rajnesh v. Neha — factors to document</t>
        </is>
      </c>
    </row>
    <row r="4">
      <c r="B4" s="13" t="inlineStr">
        <is>
          <t>Factor</t>
        </is>
      </c>
      <c r="C4" s="13" t="inlineStr">
        <is>
          <t>Relevant facts / adjustment note</t>
        </is>
      </c>
    </row>
    <row r="5">
      <c r="B5" s="12" t="inlineStr">
        <is>
          <t>Status &amp; standard of living during the marriage</t>
        </is>
      </c>
      <c r="C5" s="14" t="inlineStr"/>
    </row>
    <row r="6">
      <c r="B6" s="15" t="inlineStr">
        <is>
          <t>Reasonable needs of the claimant &amp; children</t>
        </is>
      </c>
      <c r="C6" s="16" t="inlineStr"/>
    </row>
    <row r="7">
      <c r="B7" s="12" t="inlineStr">
        <is>
          <t>Income &amp; assets of both parties</t>
        </is>
      </c>
      <c r="C7" s="14" t="inlineStr"/>
    </row>
    <row r="8">
      <c r="B8" s="15" t="inlineStr">
        <is>
          <t>Liabilities &amp; responsibilities of the payer</t>
        </is>
      </c>
      <c r="C8" s="16" t="inlineStr"/>
    </row>
    <row r="9">
      <c r="B9" s="12" t="inlineStr">
        <is>
          <t>Earning capacity of the claimant</t>
        </is>
      </c>
      <c r="C9" s="14" t="inlineStr"/>
    </row>
    <row r="10">
      <c r="B10" s="15" t="inlineStr">
        <is>
          <t>Age &amp; health of the parties</t>
        </is>
      </c>
      <c r="C10" s="16" t="inlineStr"/>
    </row>
    <row r="11">
      <c r="B11" s="12" t="inlineStr">
        <is>
          <t>Educational/medical needs of children</t>
        </is>
      </c>
      <c r="C11" s="14" t="inlineStr"/>
    </row>
    <row r="12">
      <c r="B12" s="15" t="inlineStr">
        <is>
          <t>Whether the claimant left the matrimonial home &amp; why</t>
        </is>
      </c>
      <c r="C12" s="16" t="inlineStr"/>
    </row>
    <row r="13">
      <c r="B13" s="12" t="inlineStr">
        <is>
          <t>Duration of the marriage</t>
        </is>
      </c>
      <c r="C13" s="14" t="inlineStr"/>
    </row>
    <row r="14">
      <c r="B14" s="15" t="inlineStr">
        <is>
          <t>Any prior maintenance orders</t>
        </is>
      </c>
      <c r="C14" s="16" t="inlineStr"/>
    </row>
  </sheetData>
  <mergeCells count="1">
    <mergeCell ref="B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1084E3-4BAC-46D3-A627-F70466893964}"/>
</file>

<file path=customXml/itemProps2.xml><?xml version="1.0" encoding="utf-8"?>
<ds:datastoreItem xmlns:ds="http://schemas.openxmlformats.org/officeDocument/2006/customXml" ds:itemID="{9BCBD230-61F0-4C42-ABF7-016396CCFB02}"/>
</file>

<file path=customXml/itemProps3.xml><?xml version="1.0" encoding="utf-8"?>
<ds:datastoreItem xmlns:ds="http://schemas.openxmlformats.org/officeDocument/2006/customXml" ds:itemID="{A8021FD0-310B-4251-9843-234E98DD1C2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2026-07-19T14:04:33Z</dcterms:created>
  <dcterms:modified xsi:type="dcterms:W3CDTF">2026-07-19T14:04:33Z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