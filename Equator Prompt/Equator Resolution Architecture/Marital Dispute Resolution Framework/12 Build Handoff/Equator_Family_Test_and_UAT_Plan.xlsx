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UAT Scripts" sheetId="2" state="visible" r:id="rId2"/>
    <sheet xmlns:r="http://schemas.openxmlformats.org/officeDocument/2006/relationships" name="Traceability" sheetId="3" state="visible" r:id="rId3"/>
    <sheet xmlns:r="http://schemas.openxmlformats.org/officeDocument/2006/relationships" name="Defect Log" sheetId="4" state="visible" r:id="rId4"/>
    <sheet xmlns:r="http://schemas.openxmlformats.org/officeDocument/2006/relationships" name="Sign-off" sheetId="5" state="visible" r:id="rId5"/>
  </sheets>
  <definedNames>
    <definedName name="_xlnm._FilterDatabase" localSheetId="1" hidden="1">'UAT Scripts'!$A$3:$K$31</definedName>
    <definedName name="_xlnm._FilterDatabase" localSheetId="2" hidden="1">'Traceability'!$A$3:$D$16</definedName>
    <definedName name="_xlnm._FilterDatabase" localSheetId="3" hidden="1">'Defect Log'!$A$3:$H$23</definedName>
    <definedName name="_xlnm._FilterDatabase" localSheetId="4" hidden="1">'Sign-off'!$A$3:$D$10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9.5"/>
    </font>
    <font>
      <name val="Arial"/>
      <b val="1"/>
      <color rgb="FF123B4F"/>
      <sz val="10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23B4F"/>
      </patternFill>
    </fill>
    <fill>
      <patternFill patternType="solid">
        <fgColor rgb="FFF6E0E4"/>
      </patternFill>
    </fill>
    <fill>
      <patternFill patternType="solid">
        <fgColor rgb="FFF3F7F9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>
      <c r="B2" s="1" t="inlineStr">
        <is>
          <t>Equator Resolution — Family Platform: Test &amp; UAT Plan</t>
        </is>
      </c>
    </row>
    <row r="3">
      <c r="B3" s="2" t="inlineStr">
        <is>
          <t>Acceptance scripts mapped to every workflow state, with traceability and sign-off.</t>
        </is>
      </c>
    </row>
    <row r="5">
      <c r="B5" s="3" t="inlineStr"/>
    </row>
    <row r="6">
      <c r="B6" s="4" t="inlineStr">
        <is>
          <t>HOW TO USE</t>
        </is>
      </c>
    </row>
    <row r="7">
      <c r="B7" s="3" t="inlineStr">
        <is>
          <t>- 'UAT Scripts' holds one or more acceptance scripts per workflow state, in Given / When / Then form.</t>
        </is>
      </c>
    </row>
    <row r="8">
      <c r="B8" s="3" t="inlineStr">
        <is>
          <t>- Record PASS/FAIL per script; CRITICAL scripts (red) must pass before go-live.</t>
        </is>
      </c>
    </row>
    <row r="9">
      <c r="B9" s="3" t="inlineStr">
        <is>
          <t>- 'Traceability' links requirement -&gt; workflow state -&gt; API endpoint -&gt; script, so nothing ships untested.</t>
        </is>
      </c>
    </row>
    <row r="10">
      <c r="B10" s="3" t="inlineStr">
        <is>
          <t>- Log defects in 'Defect Log'; severity 1 blocks release.</t>
        </is>
      </c>
    </row>
    <row r="11">
      <c r="B11" s="3" t="inlineStr">
        <is>
          <t>- 'Sign-off' records business, legal, DPO and security acceptance.</t>
        </is>
      </c>
    </row>
    <row r="12">
      <c r="B12" s="3" t="inlineStr"/>
    </row>
    <row r="13">
      <c r="B13" s="4" t="inlineStr">
        <is>
          <t>ENTRY CRITERIA</t>
        </is>
      </c>
    </row>
    <row r="14">
      <c r="B14" s="3" t="inlineStr">
        <is>
          <t>- Build deployed to UAT; test data seeded; AI eval harness passed; no open severity-1 defects.</t>
        </is>
      </c>
    </row>
    <row r="15">
      <c r="B15" s="4" t="inlineStr">
        <is>
          <t>EXIT CRITERIA</t>
        </is>
      </c>
    </row>
    <row r="16">
      <c r="B16" s="3" t="inlineStr">
        <is>
          <t>- 100% of critical scripts pass; &gt;=95% of all scripts pass; zero open severity-1/2 defects; all sign-offs obtained.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0" customWidth="1" min="3" max="3"/>
    <col width="30" customWidth="1" min="4" max="4"/>
    <col width="30" customWidth="1" min="5" max="5"/>
    <col width="52" customWidth="1" min="6" max="6"/>
    <col width="26" customWidth="1" min="7" max="7"/>
    <col width="10" customWidth="1" min="8" max="8"/>
    <col width="10" customWidth="1" min="9" max="9"/>
    <col width="16" customWidth="1" min="10" max="10"/>
    <col width="26" customWidth="1" min="11" max="11"/>
  </cols>
  <sheetData>
    <row r="1">
      <c r="A1" s="1" t="inlineStr">
        <is>
          <t>UAT Acceptance Scripts</t>
        </is>
      </c>
    </row>
    <row r="2">
      <c r="A2" s="2" t="inlineStr">
        <is>
          <t>Given / When / Then per workflow state. Red = critical (must pass before go-live).</t>
        </is>
      </c>
    </row>
    <row r="3" ht="30" customHeight="1">
      <c r="A3" s="5" t="inlineStr">
        <is>
          <t>ID</t>
        </is>
      </c>
      <c r="B3" s="5" t="inlineStr">
        <is>
          <t>Workflow state</t>
        </is>
      </c>
      <c r="C3" s="5" t="inlineStr">
        <is>
          <t>Scenario</t>
        </is>
      </c>
      <c r="D3" s="5" t="inlineStr">
        <is>
          <t>Given</t>
        </is>
      </c>
      <c r="E3" s="5" t="inlineStr">
        <is>
          <t>When</t>
        </is>
      </c>
      <c r="F3" s="5" t="inlineStr">
        <is>
          <t>Then (expected result)</t>
        </is>
      </c>
      <c r="G3" s="5" t="inlineStr">
        <is>
          <t>Endpoint / component</t>
        </is>
      </c>
      <c r="H3" s="5" t="inlineStr">
        <is>
          <t>Severity</t>
        </is>
      </c>
      <c r="I3" s="5" t="inlineStr">
        <is>
          <t>Result</t>
        </is>
      </c>
      <c r="J3" s="5" t="inlineStr">
        <is>
          <t>Tester / date</t>
        </is>
      </c>
      <c r="K3" s="5" t="inlineStr">
        <is>
          <t>Notes</t>
        </is>
      </c>
    </row>
    <row r="4">
      <c r="A4" s="6" t="inlineStr">
        <is>
          <t>UAT-01</t>
        </is>
      </c>
      <c r="B4" s="6" t="inlineStr">
        <is>
          <t>intake</t>
        </is>
      </c>
      <c r="C4" s="6" t="inlineStr">
        <is>
          <t>Party can start a case and give DPDP consent</t>
        </is>
      </c>
      <c r="D4" s="6" t="inlineStr">
        <is>
          <t>Given a new user on the portal</t>
        </is>
      </c>
      <c r="E4" s="6" t="inlineStr">
        <is>
          <t>When they complete F-01 (identity + DPDP consent) and submit F-02</t>
        </is>
      </c>
      <c r="F4" s="6" t="inlineStr">
        <is>
          <t>Then a case is created with a case number, consent is recorded with the notice version, and an audit event is written</t>
        </is>
      </c>
      <c r="G4" s="6" t="inlineStr">
        <is>
          <t>POST /cases</t>
        </is>
      </c>
      <c r="H4" s="6" t="inlineStr">
        <is>
          <t>Critical</t>
        </is>
      </c>
      <c r="I4" s="6" t="inlineStr"/>
      <c r="J4" s="6" t="inlineStr"/>
      <c r="K4" s="6" t="inlineStr"/>
    </row>
    <row r="5">
      <c r="A5" s="6" t="inlineStr">
        <is>
          <t>UAT-02</t>
        </is>
      </c>
      <c r="B5" s="6" t="inlineStr">
        <is>
          <t>intake</t>
        </is>
      </c>
      <c r="C5" s="6" t="inlineStr">
        <is>
          <t>Consent withdrawal is honoured</t>
        </is>
      </c>
      <c r="D5" s="6" t="inlineStr">
        <is>
          <t>Given a party who consented</t>
        </is>
      </c>
      <c r="E5" s="6" t="inlineStr">
        <is>
          <t>When they withdraw consent</t>
        </is>
      </c>
      <c r="F5" s="6" t="inlineStr">
        <is>
          <t>Then processing for that purpose stops, the withdrawal is timestamped, and the party is told what happens next</t>
        </is>
      </c>
      <c r="G5" s="6" t="inlineStr">
        <is>
          <t>POST /parties/{id}/consent</t>
        </is>
      </c>
      <c r="H5" s="6" t="inlineStr">
        <is>
          <t>Critical</t>
        </is>
      </c>
      <c r="I5" s="6" t="inlineStr"/>
      <c r="J5" s="6" t="inlineStr"/>
      <c r="K5" s="6" t="inlineStr"/>
    </row>
    <row r="6">
      <c r="A6" s="6" t="inlineStr">
        <is>
          <t>UAT-03</t>
        </is>
      </c>
      <c r="B6" s="6" t="inlineStr">
        <is>
          <t>screening</t>
        </is>
      </c>
      <c r="C6" s="6" t="inlineStr">
        <is>
          <t>Screening is per-party and confidential</t>
        </is>
      </c>
      <c r="D6" s="6" t="inlineStr">
        <is>
          <t>Given both parties in a case</t>
        </is>
      </c>
      <c r="E6" s="6" t="inlineStr">
        <is>
          <t>When party A completes screening</t>
        </is>
      </c>
      <c r="F6" s="6" t="inlineStr">
        <is>
          <t>Then party B cannot see it, is not told it occurred, and no screening content appears in any shared view</t>
        </is>
      </c>
      <c r="G6" s="6" t="inlineStr">
        <is>
          <t>POST /cases/{id}/screening</t>
        </is>
      </c>
      <c r="H6" s="6" t="inlineStr">
        <is>
          <t>Critical</t>
        </is>
      </c>
      <c r="I6" s="6" t="inlineStr"/>
      <c r="J6" s="6" t="inlineStr"/>
      <c r="K6" s="6" t="inlineStr"/>
    </row>
    <row r="7">
      <c r="A7" s="6" t="inlineStr">
        <is>
          <t>UAT-04</t>
        </is>
      </c>
      <c r="B7" s="6" t="inlineStr">
        <is>
          <t>screening</t>
        </is>
      </c>
      <c r="C7" s="6" t="inlineStr">
        <is>
          <t>A safety flag blocks joint sessions</t>
        </is>
      </c>
      <c r="D7" s="6" t="inlineStr">
        <is>
          <t>Given a screening outcome of 'not_suitable_safety' or a raised safety flag</t>
        </is>
      </c>
      <c r="E7" s="6" t="inlineStr">
        <is>
          <t>When any user attempts to schedule a JOINT session</t>
        </is>
      </c>
      <c r="F7" s="6" t="inlineStr">
        <is>
          <t>Then the API returns 409, the UI disables the option, and shuttle/safety options plus support signposting are offered</t>
        </is>
      </c>
      <c r="G7" s="6" t="inlineStr">
        <is>
          <t>POST /cases/{id}/sessions</t>
        </is>
      </c>
      <c r="H7" s="6" t="inlineStr">
        <is>
          <t>Critical</t>
        </is>
      </c>
      <c r="I7" s="6" t="inlineStr"/>
      <c r="J7" s="6" t="inlineStr"/>
      <c r="K7" s="6" t="inlineStr"/>
    </row>
    <row r="8">
      <c r="A8" s="6" t="inlineStr">
        <is>
          <t>UAT-05</t>
        </is>
      </c>
      <c r="B8" s="6" t="inlineStr">
        <is>
          <t>screening</t>
        </is>
      </c>
      <c r="C8" s="6" t="inlineStr">
        <is>
          <t>Support is signposted on a safety outcome</t>
        </is>
      </c>
      <c r="D8" s="6" t="inlineStr">
        <is>
          <t>Given a safety flag</t>
        </is>
      </c>
      <c r="E8" s="6" t="inlineStr">
        <is>
          <t>When the party views their portal</t>
        </is>
      </c>
      <c r="F8" s="6" t="inlineStr">
        <is>
          <t>Then support and protection-order information is visible without the other party seeing anything</t>
        </is>
      </c>
      <c r="G8" s="6" t="inlineStr">
        <is>
          <t>GET /cases/{id}</t>
        </is>
      </c>
      <c r="H8" s="6" t="inlineStr">
        <is>
          <t>Critical</t>
        </is>
      </c>
      <c r="I8" s="6" t="inlineStr"/>
      <c r="J8" s="6" t="inlineStr"/>
      <c r="K8" s="6" t="inlineStr"/>
    </row>
    <row r="9">
      <c r="A9" s="7" t="inlineStr">
        <is>
          <t>UAT-06</t>
        </is>
      </c>
      <c r="B9" s="7" t="inlineStr">
        <is>
          <t>triaged</t>
        </is>
      </c>
      <c r="C9" s="7" t="inlineStr">
        <is>
          <t>Route triage produces a defensible recommendation</t>
        </is>
      </c>
      <c r="D9" s="7" t="inlineStr">
        <is>
          <t>Given a completed intake</t>
        </is>
      </c>
      <c r="E9" s="7" t="inlineStr">
        <is>
          <t>When triage runs</t>
        </is>
      </c>
      <c r="F9" s="7" t="inlineStr">
        <is>
          <t>Then a route (mediation / court_referral / safety_pathway / not_suitable) is returned with a rationale and is recorded</t>
        </is>
      </c>
      <c r="G9" s="7" t="inlineStr">
        <is>
          <t>POST /cases/{id}/triage</t>
        </is>
      </c>
      <c r="H9" s="7" t="inlineStr">
        <is>
          <t>High</t>
        </is>
      </c>
      <c r="I9" s="7" t="inlineStr"/>
      <c r="J9" s="7" t="inlineStr"/>
      <c r="K9" s="7" t="inlineStr"/>
    </row>
    <row r="10">
      <c r="A10" s="8" t="inlineStr">
        <is>
          <t>UAT-07</t>
        </is>
      </c>
      <c r="B10" s="8" t="inlineStr">
        <is>
          <t>notice_served</t>
        </is>
      </c>
      <c r="C10" s="8" t="inlineStr">
        <is>
          <t>Notice to the other party is served and tracked</t>
        </is>
      </c>
      <c r="D10" s="8" t="inlineStr">
        <is>
          <t>Given a registered case</t>
        </is>
      </c>
      <c r="E10" s="8" t="inlineStr">
        <is>
          <t>When the case manager serves notice (F-03)</t>
        </is>
      </c>
      <c r="F10" s="8" t="inlineStr">
        <is>
          <t>Then delivery is recorded with channel and timestamp, and a response deadline is set</t>
        </is>
      </c>
      <c r="G10" s="8" t="inlineStr">
        <is>
          <t>POST /cases/{id} (notice)</t>
        </is>
      </c>
      <c r="H10" s="8" t="inlineStr">
        <is>
          <t>High</t>
        </is>
      </c>
      <c r="I10" s="8" t="inlineStr"/>
      <c r="J10" s="8" t="inlineStr"/>
      <c r="K10" s="8" t="inlineStr"/>
    </row>
    <row r="11">
      <c r="A11" s="7" t="inlineStr">
        <is>
          <t>UAT-08</t>
        </is>
      </c>
      <c r="B11" s="7" t="inlineStr">
        <is>
          <t>response</t>
        </is>
      </c>
      <c r="C11" s="7" t="inlineStr">
        <is>
          <t>Non-participation is handled gracefully</t>
        </is>
      </c>
      <c r="D11" s="7" t="inlineStr">
        <is>
          <t>Given no response within the deadline</t>
        </is>
      </c>
      <c r="E11" s="7" t="inlineStr">
        <is>
          <t>When the deadline passes</t>
        </is>
      </c>
      <c r="F11" s="7" t="inlineStr">
        <is>
          <t>Then a non-commencement report is generated and the applicant is told their other remedies are preserved</t>
        </is>
      </c>
      <c r="G11" s="7" t="inlineStr">
        <is>
          <t>PATCH /cases/{id}</t>
        </is>
      </c>
      <c r="H11" s="7" t="inlineStr">
        <is>
          <t>High</t>
        </is>
      </c>
      <c r="I11" s="7" t="inlineStr"/>
      <c r="J11" s="7" t="inlineStr"/>
      <c r="K11" s="7" t="inlineStr"/>
    </row>
    <row r="12">
      <c r="A12" s="6" t="inlineStr">
        <is>
          <t>UAT-09</t>
        </is>
      </c>
      <c r="B12" s="6" t="inlineStr">
        <is>
          <t>mediator_appointed</t>
        </is>
      </c>
      <c r="C12" s="6" t="inlineStr">
        <is>
          <t>Appointment requires conflict check and disclosure</t>
        </is>
      </c>
      <c r="D12" s="6" t="inlineStr">
        <is>
          <t>Given a shortlisted mediator</t>
        </is>
      </c>
      <c r="E12" s="6" t="inlineStr">
        <is>
          <t>When appointment is attempted without a signed disclosure</t>
        </is>
      </c>
      <c r="F12" s="6" t="inlineStr">
        <is>
          <t>Then the system blocks activation until the conflict check passes and the disclosure is signed</t>
        </is>
      </c>
      <c r="G12" s="6" t="inlineStr">
        <is>
          <t>POST /cases/{id}/appointment</t>
        </is>
      </c>
      <c r="H12" s="6" t="inlineStr">
        <is>
          <t>Critical</t>
        </is>
      </c>
      <c r="I12" s="6" t="inlineStr"/>
      <c r="J12" s="6" t="inlineStr"/>
      <c r="K12" s="6" t="inlineStr"/>
    </row>
    <row r="13">
      <c r="A13" s="7" t="inlineStr">
        <is>
          <t>UAT-10</t>
        </is>
      </c>
      <c r="B13" s="7" t="inlineStr">
        <is>
          <t>mediator_appointed</t>
        </is>
      </c>
      <c r="C13" s="7" t="inlineStr">
        <is>
          <t>A party can challenge the mediator</t>
        </is>
      </c>
      <c r="D13" s="7" t="inlineStr">
        <is>
          <t>Given an appointed mediator</t>
        </is>
      </c>
      <c r="E13" s="7" t="inlineStr">
        <is>
          <t>When a party raises a challenge</t>
        </is>
      </c>
      <c r="F13" s="7" t="inlineStr">
        <is>
          <t>Then it is recorded, decided by the Institution, and a replacement can be appointed without data loss</t>
        </is>
      </c>
      <c r="G13" s="7" t="inlineStr">
        <is>
          <t>POST /cases/{id}/appointment/challenge</t>
        </is>
      </c>
      <c r="H13" s="7" t="inlineStr">
        <is>
          <t>High</t>
        </is>
      </c>
      <c r="I13" s="7" t="inlineStr"/>
      <c r="J13" s="7" t="inlineStr"/>
      <c r="K13" s="7" t="inlineStr"/>
    </row>
    <row r="14">
      <c r="A14" s="6" t="inlineStr">
        <is>
          <t>UAT-11</t>
        </is>
      </c>
      <c r="B14" s="6" t="inlineStr">
        <is>
          <t>in_session</t>
        </is>
      </c>
      <c r="C14" s="6" t="inlineStr">
        <is>
          <t>Case room enforces per-party walls</t>
        </is>
      </c>
      <c r="D14" s="6" t="inlineStr">
        <is>
          <t>Given a joint session</t>
        </is>
      </c>
      <c r="E14" s="6" t="inlineStr">
        <is>
          <t>When party A opens the case room</t>
        </is>
      </c>
      <c r="F14" s="6" t="inlineStr">
        <is>
          <t>Then only shared material and A's own documents are visible; B's private material is absent from the payload</t>
        </is>
      </c>
      <c r="G14" s="6" t="inlineStr">
        <is>
          <t>GET /cases/{id}</t>
        </is>
      </c>
      <c r="H14" s="6" t="inlineStr">
        <is>
          <t>Critical</t>
        </is>
      </c>
      <c r="I14" s="6" t="inlineStr"/>
      <c r="J14" s="6" t="inlineStr"/>
      <c r="K14" s="6" t="inlineStr"/>
    </row>
    <row r="15">
      <c r="A15" s="6" t="inlineStr">
        <is>
          <t>UAT-12</t>
        </is>
      </c>
      <c r="B15" s="6" t="inlineStr">
        <is>
          <t>in_session</t>
        </is>
      </c>
      <c r="C15" s="6" t="inlineStr">
        <is>
          <t>Caucus notes are sealed to the mediator</t>
        </is>
      </c>
      <c r="D15" s="6" t="inlineStr">
        <is>
          <t>Given caucus notes exist</t>
        </is>
      </c>
      <c r="E15" s="6" t="inlineStr">
        <is>
          <t>When either party (or any non-mediator role) requests them via API or UI</t>
        </is>
      </c>
      <c r="F15" s="6" t="inlineStr">
        <is>
          <t>Then access is refused and the attempt is audit-logged</t>
        </is>
      </c>
      <c r="G15" s="6" t="inlineStr">
        <is>
          <t>POST /sessions/{id}/caucus-notes</t>
        </is>
      </c>
      <c r="H15" s="6" t="inlineStr">
        <is>
          <t>Critical</t>
        </is>
      </c>
      <c r="I15" s="6" t="inlineStr"/>
      <c r="J15" s="6" t="inlineStr"/>
      <c r="K15" s="6" t="inlineStr"/>
    </row>
    <row r="16">
      <c r="A16" s="6" t="inlineStr">
        <is>
          <t>UAT-13</t>
        </is>
      </c>
      <c r="B16" s="6" t="inlineStr">
        <is>
          <t>in_session</t>
        </is>
      </c>
      <c r="C16" s="6" t="inlineStr">
        <is>
          <t>Recording requires both parties' consent</t>
        </is>
      </c>
      <c r="D16" s="6" t="inlineStr">
        <is>
          <t>Given a session</t>
        </is>
      </c>
      <c r="E16" s="6" t="inlineStr">
        <is>
          <t>When recording is enabled with only one consent</t>
        </is>
      </c>
      <c r="F16" s="6" t="inlineStr">
        <is>
          <t>Then recording is prevented; with both consents it proceeds and is disclosed on screen</t>
        </is>
      </c>
      <c r="G16" s="6" t="inlineStr">
        <is>
          <t>POST /cases/{id}/sessions</t>
        </is>
      </c>
      <c r="H16" s="6" t="inlineStr">
        <is>
          <t>Critical</t>
        </is>
      </c>
      <c r="I16" s="6" t="inlineStr"/>
      <c r="J16" s="6" t="inlineStr"/>
      <c r="K16" s="6" t="inlineStr"/>
    </row>
    <row r="17">
      <c r="A17" s="7" t="inlineStr">
        <is>
          <t>UAT-14</t>
        </is>
      </c>
      <c r="B17" s="7" t="inlineStr">
        <is>
          <t>in_session</t>
        </is>
      </c>
      <c r="C17" s="7" t="inlineStr">
        <is>
          <t>Child-inclusive mediation requires consent and a specialist</t>
        </is>
      </c>
      <c r="D17" s="7" t="inlineStr">
        <is>
          <t>Given a case with children</t>
        </is>
      </c>
      <c r="E17" s="7" t="inlineStr">
        <is>
          <t>When child-inclusive mediation is scheduled</t>
        </is>
      </c>
      <c r="F17" s="7" t="inlineStr">
        <is>
          <t>Then consent is captured and a trained specialist is required before the session can proceed</t>
        </is>
      </c>
      <c r="G17" s="7" t="inlineStr">
        <is>
          <t>POST /cases/{id}/sessions</t>
        </is>
      </c>
      <c r="H17" s="7" t="inlineStr">
        <is>
          <t>High</t>
        </is>
      </c>
      <c r="I17" s="7" t="inlineStr"/>
      <c r="J17" s="7" t="inlineStr"/>
      <c r="K17" s="7" t="inlineStr"/>
    </row>
    <row r="18">
      <c r="A18" s="8" t="inlineStr">
        <is>
          <t>UAT-15</t>
        </is>
      </c>
      <c r="B18" s="8" t="inlineStr">
        <is>
          <t>settlement</t>
        </is>
      </c>
      <c r="C18" s="8" t="inlineStr">
        <is>
          <t>MSA assembles only agreed terms</t>
        </is>
      </c>
      <c r="D18" s="8" t="inlineStr">
        <is>
          <t>Given agreed issues in the tracker</t>
        </is>
      </c>
      <c r="E18" s="8" t="inlineStr">
        <is>
          <t>When the MSA is generated</t>
        </is>
      </c>
      <c r="F18" s="8" t="inlineStr">
        <is>
          <t>Then it contains only the agreed terms, flags unresolved issues, and is watermarked DRAFT until signed</t>
        </is>
      </c>
      <c r="G18" s="8" t="inlineStr">
        <is>
          <t>POST /cases/{id}/settlement</t>
        </is>
      </c>
      <c r="H18" s="8" t="inlineStr">
        <is>
          <t>High</t>
        </is>
      </c>
      <c r="I18" s="8" t="inlineStr"/>
      <c r="J18" s="8" t="inlineStr"/>
      <c r="K18" s="8" t="inlineStr"/>
    </row>
    <row r="19">
      <c r="A19" s="6" t="inlineStr">
        <is>
          <t>UAT-16</t>
        </is>
      </c>
      <c r="B19" s="6" t="inlineStr">
        <is>
          <t>settlement</t>
        </is>
      </c>
      <c r="C19" s="6" t="inlineStr">
        <is>
          <t>e-Sign and e-Stamp complete the instrument</t>
        </is>
      </c>
      <c r="D19" s="6" t="inlineStr">
        <is>
          <t>Given a final MSA</t>
        </is>
      </c>
      <c r="E19" s="6" t="inlineStr">
        <is>
          <t>When both parties e-Sign and the document is e-stamped</t>
        </is>
      </c>
      <c r="F19" s="6" t="inlineStr">
        <is>
          <t>Then the signed artefact hash is stored, the state schedule is recorded, and the document becomes immutable</t>
        </is>
      </c>
      <c r="G19" s="6" t="inlineStr">
        <is>
          <t>POST /documents/{id}/esign, /estamp</t>
        </is>
      </c>
      <c r="H19" s="6" t="inlineStr">
        <is>
          <t>Critical</t>
        </is>
      </c>
      <c r="I19" s="6" t="inlineStr"/>
      <c r="J19" s="6" t="inlineStr"/>
      <c r="K19" s="6" t="inlineStr"/>
    </row>
    <row r="20">
      <c r="A20" s="8" t="inlineStr">
        <is>
          <t>UAT-17</t>
        </is>
      </c>
      <c r="B20" s="8" t="inlineStr">
        <is>
          <t>settlement</t>
        </is>
      </c>
      <c r="C20" s="8" t="inlineStr">
        <is>
          <t>Registration under s.20 is available and recorded</t>
        </is>
      </c>
      <c r="D20" s="8" t="inlineStr">
        <is>
          <t>Given a signed MSA</t>
        </is>
      </c>
      <c r="E20" s="8" t="inlineStr">
        <is>
          <t>When registration is requested</t>
        </is>
      </c>
      <c r="F20" s="8" t="inlineStr">
        <is>
          <t>Then submission is recorded and the s.27 enforceability flag is set</t>
        </is>
      </c>
      <c r="G20" s="8" t="inlineStr">
        <is>
          <t>POST /settlements/{id}/register</t>
        </is>
      </c>
      <c r="H20" s="8" t="inlineStr">
        <is>
          <t>High</t>
        </is>
      </c>
      <c r="I20" s="8" t="inlineStr"/>
      <c r="J20" s="8" t="inlineStr"/>
      <c r="K20" s="8" t="inlineStr"/>
    </row>
    <row r="21">
      <c r="A21" s="6" t="inlineStr">
        <is>
          <t>UAT-18</t>
        </is>
      </c>
      <c r="B21" s="6" t="inlineStr">
        <is>
          <t>escrow</t>
        </is>
      </c>
      <c r="C21" s="6" t="inlineStr">
        <is>
          <t>Escrow releases only on verified milestones</t>
        </is>
      </c>
      <c r="D21" s="6" t="inlineStr">
        <is>
          <t>Given a funded escrow</t>
        </is>
      </c>
      <c r="E21" s="6" t="inlineStr">
        <is>
          <t>When a release is attempted with an unmet milestone</t>
        </is>
      </c>
      <c r="F21" s="6" t="inlineStr">
        <is>
          <t>Then it is refused; when the milestone is verified the tranche releases with a receipt and audit entry</t>
        </is>
      </c>
      <c r="G21" s="6" t="inlineStr">
        <is>
          <t>POST /escrow/{id}/release</t>
        </is>
      </c>
      <c r="H21" s="6" t="inlineStr">
        <is>
          <t>Critical</t>
        </is>
      </c>
      <c r="I21" s="6" t="inlineStr"/>
      <c r="J21" s="6" t="inlineStr"/>
      <c r="K21" s="6" t="inlineStr"/>
    </row>
    <row r="22">
      <c r="A22" s="8" t="inlineStr">
        <is>
          <t>UAT-19</t>
        </is>
      </c>
      <c r="B22" s="8" t="inlineStr">
        <is>
          <t>escrow</t>
        </is>
      </c>
      <c r="C22" s="8" t="inlineStr">
        <is>
          <t>Obligation tracker flags non-compliance</t>
        </is>
      </c>
      <c r="D22" s="8" t="inlineStr">
        <is>
          <t>Given a recurring maintenance obligation</t>
        </is>
      </c>
      <c r="E22" s="8" t="inlineStr">
        <is>
          <t>When a due date passes unpaid</t>
        </is>
      </c>
      <c r="F22" s="8" t="inlineStr">
        <is>
          <t>Then the tracker marks it non-compliant and alerts the case manager</t>
        </is>
      </c>
      <c r="G22" s="8" t="inlineStr">
        <is>
          <t>GET /settlements/{id}/obligations</t>
        </is>
      </c>
      <c r="H22" s="8" t="inlineStr">
        <is>
          <t>High</t>
        </is>
      </c>
      <c r="I22" s="8" t="inlineStr"/>
      <c r="J22" s="8" t="inlineStr"/>
      <c r="K22" s="8" t="inlineStr"/>
    </row>
    <row r="23">
      <c r="A23" s="7" t="inlineStr">
        <is>
          <t>UAT-20</t>
        </is>
      </c>
      <c r="B23" s="7" t="inlineStr">
        <is>
          <t>court_referral</t>
        </is>
      </c>
      <c r="C23" s="7" t="inlineStr">
        <is>
          <t>Court referral links and reports correctly</t>
        </is>
      </c>
      <c r="D23" s="7" t="inlineStr">
        <is>
          <t>Given a court-referred matter</t>
        </is>
      </c>
      <c r="E23" s="7" t="inlineStr">
        <is>
          <t>When the referral is linked and the outcome recorded</t>
        </is>
      </c>
      <c r="F23" s="7" t="inlineStr">
        <is>
          <t>Then the court case number, referring provision and report status are stored and retrievable</t>
        </is>
      </c>
      <c r="G23" s="7" t="inlineStr">
        <is>
          <t>POST /cases/{id}/court-referral</t>
        </is>
      </c>
      <c r="H23" s="7" t="inlineStr">
        <is>
          <t>High</t>
        </is>
      </c>
      <c r="I23" s="7" t="inlineStr"/>
      <c r="J23" s="7" t="inlineStr"/>
      <c r="K23" s="7" t="inlineStr"/>
    </row>
    <row r="24">
      <c r="A24" s="6" t="inlineStr">
        <is>
          <t>UAT-21</t>
        </is>
      </c>
      <c r="B24" s="6" t="inlineStr">
        <is>
          <t>closed</t>
        </is>
      </c>
      <c r="C24" s="6" t="inlineStr">
        <is>
          <t>Closure produces a complete, auditable record</t>
        </is>
      </c>
      <c r="D24" s="6" t="inlineStr">
        <is>
          <t>Given a settled case</t>
        </is>
      </c>
      <c r="E24" s="6" t="inlineStr">
        <is>
          <t>When closure is executed</t>
        </is>
      </c>
      <c r="F24" s="6" t="inlineStr">
        <is>
          <t>Then a closure report is issued, retention timers start, and the audit chain verifies end-to-end</t>
        </is>
      </c>
      <c r="G24" s="6" t="inlineStr">
        <is>
          <t>PATCH /cases/{id}</t>
        </is>
      </c>
      <c r="H24" s="6" t="inlineStr">
        <is>
          <t>Critical</t>
        </is>
      </c>
      <c r="I24" s="6" t="inlineStr"/>
      <c r="J24" s="6" t="inlineStr"/>
      <c r="K24" s="6" t="inlineStr"/>
    </row>
    <row r="25">
      <c r="A25" s="7" t="inlineStr">
        <is>
          <t>UAT-22</t>
        </is>
      </c>
      <c r="B25" s="7" t="inlineStr">
        <is>
          <t>withdrawn</t>
        </is>
      </c>
      <c r="C25" s="7" t="inlineStr">
        <is>
          <t>Withdrawal preserves remedies and confidentiality</t>
        </is>
      </c>
      <c r="D25" s="7" t="inlineStr">
        <is>
          <t>Given a party withdraws</t>
        </is>
      </c>
      <c r="E25" s="7" t="inlineStr">
        <is>
          <t>When the case is closed as withdrawn</t>
        </is>
      </c>
      <c r="F25" s="7" t="inlineStr">
        <is>
          <t>Then confidentiality survives, no admissions are exported, and the party is told their remedies are preserved</t>
        </is>
      </c>
      <c r="G25" s="7" t="inlineStr">
        <is>
          <t>PATCH /cases/{id}</t>
        </is>
      </c>
      <c r="H25" s="7" t="inlineStr">
        <is>
          <t>High</t>
        </is>
      </c>
      <c r="I25" s="7" t="inlineStr"/>
      <c r="J25" s="7" t="inlineStr"/>
      <c r="K25" s="7" t="inlineStr"/>
    </row>
    <row r="26">
      <c r="A26" s="6" t="inlineStr">
        <is>
          <t>UAT-23</t>
        </is>
      </c>
      <c r="B26" s="6" t="inlineStr">
        <is>
          <t>cross-cutting</t>
        </is>
      </c>
      <c r="C26" s="6" t="inlineStr">
        <is>
          <t>AI answers carry disclaimers and provenance</t>
        </is>
      </c>
      <c r="D26" s="6" t="inlineStr">
        <is>
          <t>Given any AI answer</t>
        </is>
      </c>
      <c r="E26" s="6" t="inlineStr">
        <is>
          <t>When it is returned</t>
        </is>
      </c>
      <c r="F26" s="6" t="inlineStr">
        <is>
          <t>Then it includes the not-advice line, citations resolving to real corpus chunks, and a human-handoff offer</t>
        </is>
      </c>
      <c r="G26" s="6" t="inlineStr">
        <is>
          <t>POST /ai/explore</t>
        </is>
      </c>
      <c r="H26" s="6" t="inlineStr">
        <is>
          <t>Critical</t>
        </is>
      </c>
      <c r="I26" s="6" t="inlineStr"/>
      <c r="J26" s="6" t="inlineStr"/>
      <c r="K26" s="6" t="inlineStr"/>
    </row>
    <row r="27">
      <c r="A27" s="6" t="inlineStr">
        <is>
          <t>UAT-24</t>
        </is>
      </c>
      <c r="B27" s="6" t="inlineStr">
        <is>
          <t>cross-cutting</t>
        </is>
      </c>
      <c r="C27" s="6" t="inlineStr">
        <is>
          <t>AI safety trigger escalates to a human</t>
        </is>
      </c>
      <c r="D27" s="6" t="inlineStr">
        <is>
          <t>Given a disclosure of violence or self-harm</t>
        </is>
      </c>
      <c r="E27" s="6" t="inlineStr">
        <is>
          <t>When the AI responds</t>
        </is>
      </c>
      <c r="F27" s="6" t="inlineStr">
        <is>
          <t>Then support is surfaced, procedural content stops, and a human escalation is raised</t>
        </is>
      </c>
      <c r="G27" s="6" t="inlineStr">
        <is>
          <t>POST /ai/explore</t>
        </is>
      </c>
      <c r="H27" s="6" t="inlineStr">
        <is>
          <t>Critical</t>
        </is>
      </c>
      <c r="I27" s="6" t="inlineStr"/>
      <c r="J27" s="6" t="inlineStr"/>
      <c r="K27" s="6" t="inlineStr"/>
    </row>
    <row r="28">
      <c r="A28" s="6" t="inlineStr">
        <is>
          <t>UAT-25</t>
        </is>
      </c>
      <c r="B28" s="6" t="inlineStr">
        <is>
          <t>cross-cutting</t>
        </is>
      </c>
      <c r="C28" s="6" t="inlineStr">
        <is>
          <t>Audit chain is tamper-evident</t>
        </is>
      </c>
      <c r="D28" s="6" t="inlineStr">
        <is>
          <t>Given a sequence of case actions</t>
        </is>
      </c>
      <c r="E28" s="6" t="inlineStr">
        <is>
          <t>When an audit row is altered directly in the database</t>
        </is>
      </c>
      <c r="F28" s="6" t="inlineStr">
        <is>
          <t>Then chain verification fails and the discrepancy is reported</t>
        </is>
      </c>
      <c r="G28" s="6" t="inlineStr">
        <is>
          <t>(audit verification job)</t>
        </is>
      </c>
      <c r="H28" s="6" t="inlineStr">
        <is>
          <t>Critical</t>
        </is>
      </c>
      <c r="I28" s="6" t="inlineStr"/>
      <c r="J28" s="6" t="inlineStr"/>
      <c r="K28" s="6" t="inlineStr"/>
    </row>
    <row r="29">
      <c r="A29" s="6" t="inlineStr">
        <is>
          <t>UAT-26</t>
        </is>
      </c>
      <c r="B29" s="6" t="inlineStr">
        <is>
          <t>cross-cutting</t>
        </is>
      </c>
      <c r="C29" s="6" t="inlineStr">
        <is>
          <t>Retention purge runs to policy</t>
        </is>
      </c>
      <c r="D29" s="6" t="inlineStr">
        <is>
          <t>Given records past their retention period</t>
        </is>
      </c>
      <c r="E29" s="6" t="inlineStr">
        <is>
          <t>When the purge job runs</t>
        </is>
      </c>
      <c r="F29" s="6" t="inlineStr">
        <is>
          <t>Then those records are removed or anonymised per retention_policy and the action is logged</t>
        </is>
      </c>
      <c r="G29" s="6" t="inlineStr">
        <is>
          <t>(retention job)</t>
        </is>
      </c>
      <c r="H29" s="6" t="inlineStr">
        <is>
          <t>Critical</t>
        </is>
      </c>
      <c r="I29" s="6" t="inlineStr"/>
      <c r="J29" s="6" t="inlineStr"/>
      <c r="K29" s="6" t="inlineStr"/>
    </row>
    <row r="30">
      <c r="A30" s="8" t="inlineStr">
        <is>
          <t>UAT-27</t>
        </is>
      </c>
      <c r="B30" s="8" t="inlineStr">
        <is>
          <t>cross-cutting</t>
        </is>
      </c>
      <c r="C30" s="8" t="inlineStr">
        <is>
          <t>Accessibility and language</t>
        </is>
      </c>
      <c r="D30" s="8" t="inlineStr">
        <is>
          <t>Given a party using the vernacular UI and a screen reader</t>
        </is>
      </c>
      <c r="E30" s="8" t="inlineStr">
        <is>
          <t>When they complete intake</t>
        </is>
      </c>
      <c r="F30" s="8" t="inlineStr">
        <is>
          <t>Then all flows are operable, labelled, and content is available in the selected language</t>
        </is>
      </c>
      <c r="G30" s="8" t="inlineStr">
        <is>
          <t>(UI)</t>
        </is>
      </c>
      <c r="H30" s="8" t="inlineStr">
        <is>
          <t>High</t>
        </is>
      </c>
      <c r="I30" s="8" t="inlineStr"/>
      <c r="J30" s="8" t="inlineStr"/>
      <c r="K30" s="8" t="inlineStr"/>
    </row>
    <row r="31">
      <c r="A31" s="6" t="inlineStr">
        <is>
          <t>UAT-28</t>
        </is>
      </c>
      <c r="B31" s="6" t="inlineStr">
        <is>
          <t>cross-cutting</t>
        </is>
      </c>
      <c r="C31" s="6" t="inlineStr">
        <is>
          <t>Role-based access is enforced</t>
        </is>
      </c>
      <c r="D31" s="6" t="inlineStr">
        <is>
          <t>Given each role (party, mediator, case manager, admin)</t>
        </is>
      </c>
      <c r="E31" s="6" t="inlineStr">
        <is>
          <t>When they attempt actions outside their scope</t>
        </is>
      </c>
      <c r="F31" s="6" t="inlineStr">
        <is>
          <t>Then access is denied and logged; no data leaks in the API payload</t>
        </is>
      </c>
      <c r="G31" s="6" t="inlineStr">
        <is>
          <t>(all endpoints)</t>
        </is>
      </c>
      <c r="H31" s="6" t="inlineStr">
        <is>
          <t>Critical</t>
        </is>
      </c>
      <c r="I31" s="6" t="inlineStr"/>
      <c r="J31" s="6" t="inlineStr"/>
      <c r="K31" s="6" t="inlineStr"/>
    </row>
  </sheetData>
  <autoFilter ref="A3:K31"/>
  <mergeCells count="2">
    <mergeCell ref="A2:K2"/>
    <mergeCell ref="A1:K1"/>
  </mergeCells>
  <dataValidations count="1">
    <dataValidation sqref="I4:I31" showDropDown="0" showInputMessage="0" showErrorMessage="0" allowBlank="1" type="list">
      <formula1>"PASS,FAIL,BLOCKED,N-A"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0" customWidth="1" min="3" max="3"/>
    <col width="20" customWidth="1" min="4" max="4"/>
  </cols>
  <sheetData>
    <row r="1">
      <c r="A1" s="1" t="inlineStr">
        <is>
          <t>Traceability — workflow state to script</t>
        </is>
      </c>
    </row>
    <row r="2">
      <c r="A2" s="2" t="inlineStr">
        <is>
          <t>Every workflow state must have at least one acceptance script.</t>
        </is>
      </c>
    </row>
    <row r="3" ht="30" customHeight="1">
      <c r="A3" s="5" t="inlineStr">
        <is>
          <t>Workflow state</t>
        </is>
      </c>
      <c r="B3" s="5" t="inlineStr">
        <is>
          <t>Scripts</t>
        </is>
      </c>
      <c r="C3" s="5" t="inlineStr">
        <is>
          <t>Count</t>
        </is>
      </c>
      <c r="D3" s="5" t="inlineStr">
        <is>
          <t>Covered?</t>
        </is>
      </c>
    </row>
    <row r="4">
      <c r="A4" s="8" t="inlineStr">
        <is>
          <t>intake</t>
        </is>
      </c>
      <c r="B4" s="8" t="inlineStr">
        <is>
          <t>UAT-01, UAT-02</t>
        </is>
      </c>
      <c r="C4" s="8" t="n">
        <v>2</v>
      </c>
      <c r="D4" s="8" t="inlineStr">
        <is>
          <t>Yes</t>
        </is>
      </c>
    </row>
    <row r="5">
      <c r="A5" s="7" t="inlineStr">
        <is>
          <t>screening</t>
        </is>
      </c>
      <c r="B5" s="7" t="inlineStr">
        <is>
          <t>UAT-03, UAT-04, UAT-05</t>
        </is>
      </c>
      <c r="C5" s="7" t="n">
        <v>3</v>
      </c>
      <c r="D5" s="7" t="inlineStr">
        <is>
          <t>Yes</t>
        </is>
      </c>
    </row>
    <row r="6">
      <c r="A6" s="8" t="inlineStr">
        <is>
          <t>triaged</t>
        </is>
      </c>
      <c r="B6" s="8" t="inlineStr">
        <is>
          <t>UAT-06</t>
        </is>
      </c>
      <c r="C6" s="8" t="n">
        <v>1</v>
      </c>
      <c r="D6" s="8" t="inlineStr">
        <is>
          <t>Yes</t>
        </is>
      </c>
    </row>
    <row r="7">
      <c r="A7" s="7" t="inlineStr">
        <is>
          <t>notice_served</t>
        </is>
      </c>
      <c r="B7" s="7" t="inlineStr">
        <is>
          <t>UAT-07</t>
        </is>
      </c>
      <c r="C7" s="7" t="n">
        <v>1</v>
      </c>
      <c r="D7" s="7" t="inlineStr">
        <is>
          <t>Yes</t>
        </is>
      </c>
    </row>
    <row r="8">
      <c r="A8" s="8" t="inlineStr">
        <is>
          <t>response</t>
        </is>
      </c>
      <c r="B8" s="8" t="inlineStr">
        <is>
          <t>UAT-08</t>
        </is>
      </c>
      <c r="C8" s="8" t="n">
        <v>1</v>
      </c>
      <c r="D8" s="8" t="inlineStr">
        <is>
          <t>Yes</t>
        </is>
      </c>
    </row>
    <row r="9">
      <c r="A9" s="7" t="inlineStr">
        <is>
          <t>mediator_appointed</t>
        </is>
      </c>
      <c r="B9" s="7" t="inlineStr">
        <is>
          <t>UAT-09, UAT-10</t>
        </is>
      </c>
      <c r="C9" s="7" t="n">
        <v>2</v>
      </c>
      <c r="D9" s="7" t="inlineStr">
        <is>
          <t>Yes</t>
        </is>
      </c>
    </row>
    <row r="10">
      <c r="A10" s="8" t="inlineStr">
        <is>
          <t>in_session</t>
        </is>
      </c>
      <c r="B10" s="8" t="inlineStr">
        <is>
          <t>UAT-11, UAT-12, UAT-13, UAT-14</t>
        </is>
      </c>
      <c r="C10" s="8" t="n">
        <v>4</v>
      </c>
      <c r="D10" s="8" t="inlineStr">
        <is>
          <t>Yes</t>
        </is>
      </c>
    </row>
    <row r="11">
      <c r="A11" s="7" t="inlineStr">
        <is>
          <t>settlement</t>
        </is>
      </c>
      <c r="B11" s="7" t="inlineStr">
        <is>
          <t>UAT-15, UAT-16, UAT-17</t>
        </is>
      </c>
      <c r="C11" s="7" t="n">
        <v>3</v>
      </c>
      <c r="D11" s="7" t="inlineStr">
        <is>
          <t>Yes</t>
        </is>
      </c>
    </row>
    <row r="12">
      <c r="A12" s="8" t="inlineStr">
        <is>
          <t>escrow</t>
        </is>
      </c>
      <c r="B12" s="8" t="inlineStr">
        <is>
          <t>UAT-18, UAT-19</t>
        </is>
      </c>
      <c r="C12" s="8" t="n">
        <v>2</v>
      </c>
      <c r="D12" s="8" t="inlineStr">
        <is>
          <t>Yes</t>
        </is>
      </c>
    </row>
    <row r="13">
      <c r="A13" s="7" t="inlineStr">
        <is>
          <t>court_referral</t>
        </is>
      </c>
      <c r="B13" s="7" t="inlineStr">
        <is>
          <t>UAT-20</t>
        </is>
      </c>
      <c r="C13" s="7" t="n">
        <v>1</v>
      </c>
      <c r="D13" s="7" t="inlineStr">
        <is>
          <t>Yes</t>
        </is>
      </c>
    </row>
    <row r="14">
      <c r="A14" s="8" t="inlineStr">
        <is>
          <t>closed</t>
        </is>
      </c>
      <c r="B14" s="8" t="inlineStr">
        <is>
          <t>UAT-21</t>
        </is>
      </c>
      <c r="C14" s="8" t="n">
        <v>1</v>
      </c>
      <c r="D14" s="8" t="inlineStr">
        <is>
          <t>Yes</t>
        </is>
      </c>
    </row>
    <row r="15">
      <c r="A15" s="7" t="inlineStr">
        <is>
          <t>withdrawn</t>
        </is>
      </c>
      <c r="B15" s="7" t="inlineStr">
        <is>
          <t>UAT-22</t>
        </is>
      </c>
      <c r="C15" s="7" t="n">
        <v>1</v>
      </c>
      <c r="D15" s="7" t="inlineStr">
        <is>
          <t>Yes</t>
        </is>
      </c>
    </row>
    <row r="16">
      <c r="A16" s="8" t="inlineStr">
        <is>
          <t>cross-cutting</t>
        </is>
      </c>
      <c r="B16" s="8" t="inlineStr">
        <is>
          <t>UAT-23, UAT-24, UAT-25, UAT-26, UAT-27, UAT-28</t>
        </is>
      </c>
      <c r="C16" s="8" t="n">
        <v>6</v>
      </c>
      <c r="D16" s="8" t="inlineStr">
        <is>
          <t>Yes</t>
        </is>
      </c>
    </row>
  </sheetData>
  <autoFilter ref="A3:D16"/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50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Defect Log</t>
        </is>
      </c>
    </row>
    <row r="2">
      <c r="A2" s="2" t="inlineStr">
        <is>
          <t>Severity 1 blocks release; severity 2 blocks unless formally accepted.</t>
        </is>
      </c>
    </row>
    <row r="3" ht="30" customHeight="1">
      <c r="A3" s="5" t="inlineStr">
        <is>
          <t>ID</t>
        </is>
      </c>
      <c r="B3" s="5" t="inlineStr">
        <is>
          <t>Script</t>
        </is>
      </c>
      <c r="C3" s="5" t="inlineStr">
        <is>
          <t>Description</t>
        </is>
      </c>
      <c r="D3" s="5" t="inlineStr">
        <is>
          <t>Severity (1-4)</t>
        </is>
      </c>
      <c r="E3" s="5" t="inlineStr">
        <is>
          <t>Status</t>
        </is>
      </c>
      <c r="F3" s="5" t="inlineStr">
        <is>
          <t>Owner</t>
        </is>
      </c>
      <c r="G3" s="5" t="inlineStr">
        <is>
          <t>Raised</t>
        </is>
      </c>
      <c r="H3" s="5" t="inlineStr">
        <is>
          <t>Resolved</t>
        </is>
      </c>
    </row>
    <row r="4">
      <c r="A4" s="8" t="inlineStr"/>
      <c r="B4" s="8" t="inlineStr"/>
      <c r="C4" s="8" t="inlineStr"/>
      <c r="D4" s="8" t="inlineStr"/>
      <c r="E4" s="8" t="inlineStr"/>
      <c r="F4" s="8" t="inlineStr"/>
      <c r="G4" s="8" t="inlineStr"/>
      <c r="H4" s="8" t="inlineStr"/>
    </row>
    <row r="5">
      <c r="A5" s="7" t="inlineStr"/>
      <c r="B5" s="7" t="inlineStr"/>
      <c r="C5" s="7" t="inlineStr"/>
      <c r="D5" s="7" t="inlineStr"/>
      <c r="E5" s="7" t="inlineStr"/>
      <c r="F5" s="7" t="inlineStr"/>
      <c r="G5" s="7" t="inlineStr"/>
      <c r="H5" s="7" t="inlineStr"/>
    </row>
    <row r="6">
      <c r="A6" s="8" t="inlineStr"/>
      <c r="B6" s="8" t="inlineStr"/>
      <c r="C6" s="8" t="inlineStr"/>
      <c r="D6" s="8" t="inlineStr"/>
      <c r="E6" s="8" t="inlineStr"/>
      <c r="F6" s="8" t="inlineStr"/>
      <c r="G6" s="8" t="inlineStr"/>
      <c r="H6" s="8" t="inlineStr"/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</row>
    <row r="8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</row>
    <row r="10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</row>
    <row r="12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</row>
    <row r="20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  <c r="H20" s="8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</row>
    <row r="22">
      <c r="A22" s="8" t="inlineStr"/>
      <c r="B22" s="8" t="inlineStr"/>
      <c r="C22" s="8" t="inlineStr"/>
      <c r="D22" s="8" t="inlineStr"/>
      <c r="E22" s="8" t="inlineStr"/>
      <c r="F22" s="8" t="inlineStr"/>
      <c r="G22" s="8" t="inlineStr"/>
      <c r="H22" s="8" t="inlineStr"/>
    </row>
    <row r="23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</row>
  </sheetData>
  <autoFilter ref="A3:H23"/>
  <mergeCells count="2">
    <mergeCell ref="A2:H2"/>
    <mergeCell ref="A1:H1"/>
  </mergeCells>
  <dataValidations count="2">
    <dataValidation sqref="D4:D23" showDropDown="0" showInputMessage="0" showErrorMessage="0" allowBlank="1" type="list">
      <formula1>"1,2,3,4"</formula1>
    </dataValidation>
    <dataValidation sqref="E4:E23" showDropDown="0" showInputMessage="0" showErrorMessage="0" allowBlank="1" type="list">
      <formula1>"Open,In progress,Fixed,Retest,Closed,Accepted"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54" customWidth="1" min="2" max="2"/>
    <col width="26" customWidth="1" min="3" max="3"/>
    <col width="16" customWidth="1" min="4" max="4"/>
  </cols>
  <sheetData>
    <row r="1">
      <c r="A1" s="1" t="inlineStr">
        <is>
          <t>Go-live Sign-off</t>
        </is>
      </c>
    </row>
    <row r="2">
      <c r="A2" s="2" t="inlineStr">
        <is>
          <t>All rows must be signed before the platform touches a real party.</t>
        </is>
      </c>
    </row>
    <row r="3" ht="30" customHeight="1">
      <c r="A3" s="5" t="inlineStr">
        <is>
          <t>Role</t>
        </is>
      </c>
      <c r="B3" s="5" t="inlineStr">
        <is>
          <t>Scope of acceptance</t>
        </is>
      </c>
      <c r="C3" s="5" t="inlineStr">
        <is>
          <t>Name &amp; signature</t>
        </is>
      </c>
      <c r="D3" s="5" t="inlineStr">
        <is>
          <t>Date</t>
        </is>
      </c>
    </row>
    <row r="4">
      <c r="A4" s="8" t="inlineStr">
        <is>
          <t>Business owner</t>
        </is>
      </c>
      <c r="B4" s="8" t="inlineStr">
        <is>
          <t>Scope and outcomes accepted</t>
        </is>
      </c>
      <c r="C4" s="8" t="inlineStr"/>
      <c r="D4" s="8" t="inlineStr"/>
    </row>
    <row r="5">
      <c r="A5" s="7" t="inlineStr">
        <is>
          <t>Legal counsel</t>
        </is>
      </c>
      <c r="B5" s="7" t="inlineStr">
        <is>
          <t>Statutory references, forms and enforceability accepted</t>
        </is>
      </c>
      <c r="C5" s="7" t="inlineStr"/>
      <c r="D5" s="7" t="inlineStr"/>
    </row>
    <row r="6">
      <c r="A6" s="8" t="inlineStr">
        <is>
          <t>Data Protection Officer</t>
        </is>
      </c>
      <c r="B6" s="8" t="inlineStr">
        <is>
          <t>DPDP consent, minimisation, retention and breach controls accepted</t>
        </is>
      </c>
      <c r="C6" s="8" t="inlineStr"/>
      <c r="D6" s="8" t="inlineStr"/>
    </row>
    <row r="7">
      <c r="A7" s="7" t="inlineStr">
        <is>
          <t>Security</t>
        </is>
      </c>
      <c r="B7" s="7" t="inlineStr">
        <is>
          <t>Access control, encryption, audit integrity and pen-test findings accepted</t>
        </is>
      </c>
      <c r="C7" s="7" t="inlineStr"/>
      <c r="D7" s="7" t="inlineStr"/>
    </row>
    <row r="8">
      <c r="A8" s="8" t="inlineStr">
        <is>
          <t>Safeguarding lead</t>
        </is>
      </c>
      <c r="B8" s="8" t="inlineStr">
        <is>
          <t>Screening, safety flag and support pathways accepted</t>
        </is>
      </c>
      <c r="C8" s="8" t="inlineStr"/>
      <c r="D8" s="8" t="inlineStr"/>
    </row>
    <row r="9">
      <c r="A9" s="7" t="inlineStr">
        <is>
          <t>Head of Mediation</t>
        </is>
      </c>
      <c r="B9" s="7" t="inlineStr">
        <is>
          <t>Panel, disclosure, confidentiality and process accepted</t>
        </is>
      </c>
      <c r="C9" s="7" t="inlineStr"/>
      <c r="D9" s="7" t="inlineStr"/>
    </row>
    <row r="10">
      <c r="A10" s="8" t="inlineStr">
        <is>
          <t>Engineering lead</t>
        </is>
      </c>
      <c r="B10" s="8" t="inlineStr">
        <is>
          <t>Build complete; defects closed; monitoring in place</t>
        </is>
      </c>
      <c r="C10" s="8" t="inlineStr"/>
      <c r="D10" s="8" t="inlineStr"/>
    </row>
    <row r="13">
      <c r="A13" s="4" t="inlineStr">
        <is>
          <t>Exit criteria</t>
        </is>
      </c>
    </row>
    <row r="14">
      <c r="A14" s="3" t="inlineStr">
        <is>
          <t>Critical scripts passed</t>
        </is>
      </c>
      <c r="C14" s="4">
        <f>COUNTIFS('UAT Scripts'!H4:H31,"Critical",'UAT Scripts'!I4:I31,"PASS")</f>
        <v/>
      </c>
    </row>
    <row r="15">
      <c r="A15" s="3" t="inlineStr">
        <is>
          <t>Critical scripts total</t>
        </is>
      </c>
      <c r="C15" s="4">
        <f>COUNTIF('UAT Scripts'!H4:H31,"Critical")</f>
        <v/>
      </c>
    </row>
    <row r="16">
      <c r="A16" s="3" t="inlineStr">
        <is>
          <t>Critical FAILs (must be 0)</t>
        </is>
      </c>
      <c r="C16" s="4">
        <f>COUNTIFS('UAT Scripts'!H4:H31,"Critical",'UAT Scripts'!I4:I31,"FAIL")</f>
        <v/>
      </c>
    </row>
    <row r="17">
      <c r="A17" s="4" t="inlineStr">
        <is>
          <t>GO-LIVE DECISION</t>
        </is>
      </c>
      <c r="C17" s="4">
        <f>IF(AND(C16=0,C14=C15),"GO","NO-GO")</f>
        <v/>
      </c>
    </row>
  </sheetData>
  <autoFilter ref="A3:D10"/>
  <mergeCells count="2">
    <mergeCell ref="A1:D1"/>
    <mergeCell ref="A2:D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D7497B-2561-4862-BA15-0A5FE45112FD}"/>
</file>

<file path=customXml/itemProps2.xml><?xml version="1.0" encoding="utf-8"?>
<ds:datastoreItem xmlns:ds="http://schemas.openxmlformats.org/officeDocument/2006/customXml" ds:itemID="{BDB8B09D-906F-4B11-BAF5-0BBD0630B227}"/>
</file>

<file path=customXml/itemProps3.xml><?xml version="1.0" encoding="utf-8"?>
<ds:datastoreItem xmlns:ds="http://schemas.openxmlformats.org/officeDocument/2006/customXml" ds:itemID="{BAF1B6D9-F317-4524-B598-9945769AED9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2026-07-21T09:54:34Z</dcterms:created>
  <dcterms:modified xsi:type="dcterms:W3CDTF">2026-07-21T09:54:34Z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