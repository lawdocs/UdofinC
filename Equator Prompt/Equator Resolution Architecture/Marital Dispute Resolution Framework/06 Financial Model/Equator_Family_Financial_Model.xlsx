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PnL" sheetId="3" state="visible" r:id="rId5"/>
    <sheet name="UnitEconomics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<sst xmlns="http://schemas.openxmlformats.org/spreadsheetml/2006/main" count="84" uniqueCount="80">
  <si>
    <t xml:space="preserve">Equator Resolution — Family Vertical Financial Model</t>
  </si>
  <si>
    <t xml:space="preserve">Illustrative model. Blue = input (edit these); black = formula. Yellow-filled cells are the key levers.</t>
  </si>
  <si>
    <t xml:space="preserve">HOW TO USE</t>
  </si>
  <si>
    <t xml:space="preserve">- Edit the blue/yellow input cells on 'Assumptions' only; every other sheet recalculates.</t>
  </si>
  <si>
    <t xml:space="preserve">- 'PnL' shows the 3-year revenue-to-EBITDA bridge; 'UnitEconomics' shows per-case economics and break-even;</t>
  </si>
  <si>
    <t xml:space="preserve">  'Sensitivity' flexes case volume (Conservative 70% / Base / Optimistic 130%).</t>
  </si>
  <si>
    <t xml:space="preserve">REVENUE MODEL</t>
  </si>
  <si>
    <t xml:space="preserve">Equator earns: registration fee, per-session case-management fee, a share of the mediator fee,</t>
  </si>
  <si>
    <t xml:space="preserve">and an escrow-handling fee. The mediator's own fee is treated as pass-through (only Equator's share is revenue).</t>
  </si>
  <si>
    <t xml:space="preserve">IMPORTANT</t>
  </si>
  <si>
    <t xml:space="preserve">All figures are illustrative assumptions, not projections or guarantees. Validate every input against</t>
  </si>
  <si>
    <t xml:space="preserve">Equator's actual tariff, costs and pipeline before relying on the output.</t>
  </si>
  <si>
    <t xml:space="preserve">Assumptions</t>
  </si>
  <si>
    <t xml:space="preserve">Edit blue/yellow cells only.</t>
  </si>
  <si>
    <t xml:space="preserve">VOLUME &amp; ACTIVITY</t>
  </si>
  <si>
    <t xml:space="preserve">Cases handled — Year 1</t>
  </si>
  <si>
    <t xml:space="preserve">Cases handled — Year 2</t>
  </si>
  <si>
    <t xml:space="preserve">Cases handled — Year 3</t>
  </si>
  <si>
    <t xml:space="preserve">Average mediation sessions per case</t>
  </si>
  <si>
    <t xml:space="preserve">Parties per case</t>
  </si>
  <si>
    <t xml:space="preserve">FEES &amp; RATES (Equator schedule)</t>
  </si>
  <si>
    <t xml:space="preserve">Registration fee (per party, one-time) ₹</t>
  </si>
  <si>
    <t xml:space="preserve">Case-management fee (per session, per party) ₹</t>
  </si>
  <si>
    <t xml:space="preserve">Mediator fee (per session, per party, blended) ₹</t>
  </si>
  <si>
    <t xml:space="preserve">Equator share of mediator fee</t>
  </si>
  <si>
    <t xml:space="preserve">Avg escrow amount (per case with money leg) ₹</t>
  </si>
  <si>
    <t xml:space="preserve">Escrow handling fee (% of amount)</t>
  </si>
  <si>
    <t xml:space="preserve">Share of cases with an escrow leg</t>
  </si>
  <si>
    <t xml:space="preserve">Variable cost per case (gateway, comms, e-stamp) ₹</t>
  </si>
  <si>
    <t xml:space="preserve">ANNUAL FIXED COSTS ₹</t>
  </si>
  <si>
    <t xml:space="preserve">Year 1</t>
  </si>
  <si>
    <t xml:space="preserve">Year 2</t>
  </si>
  <si>
    <t xml:space="preserve">Year 3</t>
  </si>
  <si>
    <t xml:space="preserve">Technology &amp; platform</t>
  </si>
  <si>
    <t xml:space="preserve">Salaries (operations &amp; case managers)</t>
  </si>
  <si>
    <t xml:space="preserve">Mediator panel &amp; training</t>
  </si>
  <si>
    <t xml:space="preserve">Marketing &amp; business development</t>
  </si>
  <si>
    <t xml:space="preserve">Legal &amp; compliance</t>
  </si>
  <si>
    <t xml:space="preserve">Admin &amp; overhead</t>
  </si>
  <si>
    <t xml:space="preserve">Total fixed costs</t>
  </si>
  <si>
    <t xml:space="preserve">Profit &amp; Loss — 3-Year Bridge</t>
  </si>
  <si>
    <t xml:space="preserve">All figures ₹. Black = formula (driven by Assumptions).</t>
  </si>
  <si>
    <t xml:space="preserve">Cases handled</t>
  </si>
  <si>
    <t xml:space="preserve">Registration revenue</t>
  </si>
  <si>
    <t xml:space="preserve">Case-management revenue</t>
  </si>
  <si>
    <t xml:space="preserve">Mediator-share revenue</t>
  </si>
  <si>
    <t xml:space="preserve">Escrow-handling revenue</t>
  </si>
  <si>
    <t xml:space="preserve">Total revenue</t>
  </si>
  <si>
    <t xml:space="preserve">Variable costs</t>
  </si>
  <si>
    <t xml:space="preserve">Contribution</t>
  </si>
  <si>
    <t xml:space="preserve">Contribution margin</t>
  </si>
  <si>
    <t xml:space="preserve">Fixed costs</t>
  </si>
  <si>
    <t xml:space="preserve">EBITDA</t>
  </si>
  <si>
    <t xml:space="preserve">EBITDA margin</t>
  </si>
  <si>
    <t xml:space="preserve">Per-Case Economics &amp; Break-Even</t>
  </si>
  <si>
    <t xml:space="preserve">Year-1 fee basis. ₹.</t>
  </si>
  <si>
    <t xml:space="preserve">PER-CASE REVENUE</t>
  </si>
  <si>
    <t xml:space="preserve">Registration (per case)</t>
  </si>
  <si>
    <t xml:space="preserve">Case-management (per case)</t>
  </si>
  <si>
    <t xml:space="preserve">Mediator share (per case)</t>
  </si>
  <si>
    <t xml:space="preserve">Escrow (per case, probability-weighted)</t>
  </si>
  <si>
    <t xml:space="preserve">Total revenue per case</t>
  </si>
  <si>
    <t xml:space="preserve">Variable cost per case</t>
  </si>
  <si>
    <t xml:space="preserve">Contribution per case</t>
  </si>
  <si>
    <t xml:space="preserve">BREAK-EVEN</t>
  </si>
  <si>
    <t xml:space="preserve">Year-1 fixed costs</t>
  </si>
  <si>
    <t xml:space="preserve">Break-even cases (Year 1)</t>
  </si>
  <si>
    <t xml:space="preserve">Year-1 planned cases</t>
  </si>
  <si>
    <t xml:space="preserve">Margin of safety (cases)</t>
  </si>
  <si>
    <t xml:space="preserve">EBITDA Sensitivity to Case Volume</t>
  </si>
  <si>
    <t xml:space="preserve">EBITDA (₹) if actual volume differs from plan.</t>
  </si>
  <si>
    <t xml:space="preserve">Scenario</t>
  </si>
  <si>
    <t xml:space="preserve">Factor</t>
  </si>
  <si>
    <t xml:space="preserve">Year 1 EBITDA</t>
  </si>
  <si>
    <t xml:space="preserve">Year 2 EBITDA</t>
  </si>
  <si>
    <t xml:space="preserve">Year 3 EBITDA</t>
  </si>
  <si>
    <t xml:space="preserve">Conservative</t>
  </si>
  <si>
    <t xml:space="preserve">Base case</t>
  </si>
  <si>
    <t xml:space="preserve">Optimistic</t>
  </si>
  <si>
    <t xml:space="preserve">Note: revenue scales with case volume; fixed costs held constant per year.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</si>
</sst>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"/>
    <numFmt numFmtId="167" formatCode="0"/>
    <numFmt numFmtId="168" formatCode="0.0%"/>
    <numFmt numFmtId="169" formatCode="0.00%"/>
    <numFmt numFmtId="170" formatCode="#,##0.0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23B4F"/>
      <name val="Arial"/>
      <family val="0"/>
      <charset val="1"/>
    </font>
    <font>
      <i val="true"/>
      <sz val="10"/>
      <color rgb="FF556168"/>
      <name val="Arial"/>
      <family val="0"/>
      <charset val="1"/>
    </font>
    <font>
      <sz val="10"/>
      <color rgb="FF1B2A32"/>
      <name val="Arial"/>
      <family val="0"/>
      <charset val="1"/>
    </font>
    <font>
      <b val="true"/>
      <sz val="10"/>
      <color rgb="FF123B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7A8C"/>
        <bgColor rgb="FF008080"/>
      </patternFill>
    </fill>
    <fill>
      <patternFill patternType="solid">
        <fgColor rgb="FFFFF6D5"/>
        <bgColor rgb="FFFFFFFF"/>
      </patternFill>
    </fill>
    <fill>
      <patternFill patternType="solid">
        <fgColor rgb="FF123B4F"/>
        <bgColor rgb="FF1B2A3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8C"/>
      <rgbColor rgb="FFC4D0D6"/>
      <rgbColor rgb="FF808080"/>
      <rgbColor rgb="FF9999FF"/>
      <rgbColor rgb="FF993366"/>
      <rgbColor rgb="FFFFF6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168"/>
      <rgbColor rgb="FF969696"/>
      <rgbColor rgb="FF123B4F"/>
      <rgbColor rgb="FF339966"/>
      <rgbColor rgb="FF003300"/>
      <rgbColor rgb="FF333300"/>
      <rgbColor rgb="FF993300"/>
      <rgbColor rgb="FF993366"/>
      <rgbColor rgb="FF333399"/>
      <rgbColor rgb="FF1B2A32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2" customFormat="false" ht="18.55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4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4" t="s">
        <v>9</v>
      </c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3" t="s">
        <v>11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5" min="3" style="0" width="15"/>
  </cols>
  <sheetData>
    <row r="2" customFormat="false" ht="18.55" hidden="false" customHeight="false" outlineLevel="0" collapsed="false">
      <c r="B2" s="1" t="s">
        <v>12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13</v>
      </c>
      <c r="C3" s="2"/>
      <c r="D3" s="2"/>
      <c r="E3" s="2"/>
      <c r="F3" s="2"/>
    </row>
    <row r="4" customFormat="false" ht="15" hidden="false" customHeight="false" outlineLevel="0" collapsed="false">
      <c r="B4" s="5" t="s">
        <v>14</v>
      </c>
    </row>
    <row r="5" customFormat="false" ht="15" hidden="false" customHeight="false" outlineLevel="0" collapsed="false">
      <c r="B5" s="3" t="s">
        <v>15</v>
      </c>
      <c r="C5" s="6" t="n">
        <v>300</v>
      </c>
    </row>
    <row r="6" customFormat="false" ht="15" hidden="false" customHeight="false" outlineLevel="0" collapsed="false">
      <c r="B6" s="3" t="s">
        <v>16</v>
      </c>
      <c r="C6" s="6" t="n">
        <v>750</v>
      </c>
    </row>
    <row r="7" customFormat="false" ht="15" hidden="false" customHeight="false" outlineLevel="0" collapsed="false">
      <c r="B7" s="3" t="s">
        <v>17</v>
      </c>
      <c r="C7" s="6" t="n">
        <v>1500</v>
      </c>
    </row>
    <row r="8" customFormat="false" ht="15" hidden="false" customHeight="false" outlineLevel="0" collapsed="false">
      <c r="B8" s="3" t="s">
        <v>18</v>
      </c>
      <c r="C8" s="7" t="n">
        <v>4</v>
      </c>
    </row>
    <row r="9" customFormat="false" ht="15" hidden="false" customHeight="false" outlineLevel="0" collapsed="false">
      <c r="B9" s="3" t="s">
        <v>19</v>
      </c>
      <c r="C9" s="8" t="n">
        <v>2</v>
      </c>
    </row>
    <row r="11" customFormat="false" ht="15" hidden="false" customHeight="false" outlineLevel="0" collapsed="false">
      <c r="B11" s="5" t="s">
        <v>20</v>
      </c>
    </row>
    <row r="12" customFormat="false" ht="15" hidden="false" customHeight="false" outlineLevel="0" collapsed="false">
      <c r="B12" s="3" t="s">
        <v>21</v>
      </c>
      <c r="C12" s="6" t="n">
        <v>1000</v>
      </c>
    </row>
    <row r="13" customFormat="false" ht="15" hidden="false" customHeight="false" outlineLevel="0" collapsed="false">
      <c r="B13" s="3" t="s">
        <v>22</v>
      </c>
      <c r="C13" s="6" t="n">
        <v>1000</v>
      </c>
    </row>
    <row r="14" customFormat="false" ht="15" hidden="false" customHeight="false" outlineLevel="0" collapsed="false">
      <c r="B14" s="3" t="s">
        <v>23</v>
      </c>
      <c r="C14" s="6" t="n">
        <v>3000</v>
      </c>
    </row>
    <row r="15" customFormat="false" ht="15" hidden="false" customHeight="false" outlineLevel="0" collapsed="false">
      <c r="B15" s="3" t="s">
        <v>24</v>
      </c>
      <c r="C15" s="9" t="n">
        <v>0.2</v>
      </c>
    </row>
    <row r="16" customFormat="false" ht="15" hidden="false" customHeight="false" outlineLevel="0" collapsed="false">
      <c r="B16" s="3" t="s">
        <v>25</v>
      </c>
      <c r="C16" s="6" t="n">
        <v>500000</v>
      </c>
    </row>
    <row r="17" customFormat="false" ht="15" hidden="false" customHeight="false" outlineLevel="0" collapsed="false">
      <c r="B17" s="3" t="s">
        <v>26</v>
      </c>
      <c r="C17" s="10" t="n">
        <v>0.005</v>
      </c>
    </row>
    <row r="18" customFormat="false" ht="15" hidden="false" customHeight="false" outlineLevel="0" collapsed="false">
      <c r="B18" s="3" t="s">
        <v>27</v>
      </c>
      <c r="C18" s="9" t="n">
        <v>0.6</v>
      </c>
    </row>
    <row r="19" customFormat="false" ht="15" hidden="false" customHeight="false" outlineLevel="0" collapsed="false">
      <c r="B19" s="3" t="s">
        <v>28</v>
      </c>
      <c r="C19" s="6" t="n">
        <v>500</v>
      </c>
    </row>
    <row r="21" customFormat="false" ht="15" hidden="false" customHeight="false" outlineLevel="0" collapsed="false">
      <c r="B21" s="5" t="s">
        <v>29</v>
      </c>
      <c r="C21" s="11" t="s">
        <v>30</v>
      </c>
      <c r="D21" s="11" t="s">
        <v>31</v>
      </c>
      <c r="E21" s="11" t="s">
        <v>32</v>
      </c>
    </row>
    <row r="22" customFormat="false" ht="15" hidden="false" customHeight="false" outlineLevel="0" collapsed="false">
      <c r="B22" s="3" t="s">
        <v>33</v>
      </c>
      <c r="C22" s="6" t="n">
        <v>2500000</v>
      </c>
      <c r="D22" s="6" t="n">
        <v>3500000</v>
      </c>
      <c r="E22" s="6" t="n">
        <v>5000000</v>
      </c>
    </row>
    <row r="23" customFormat="false" ht="15" hidden="false" customHeight="false" outlineLevel="0" collapsed="false">
      <c r="B23" s="3" t="s">
        <v>34</v>
      </c>
      <c r="C23" s="6" t="n">
        <v>3600000</v>
      </c>
      <c r="D23" s="6" t="n">
        <v>6000000</v>
      </c>
      <c r="E23" s="6" t="n">
        <v>9600000</v>
      </c>
    </row>
    <row r="24" customFormat="false" ht="15" hidden="false" customHeight="false" outlineLevel="0" collapsed="false">
      <c r="B24" s="3" t="s">
        <v>35</v>
      </c>
      <c r="C24" s="6" t="n">
        <v>800000</v>
      </c>
      <c r="D24" s="6" t="n">
        <v>1200000</v>
      </c>
      <c r="E24" s="6" t="n">
        <v>1800000</v>
      </c>
    </row>
    <row r="25" customFormat="false" ht="15" hidden="false" customHeight="false" outlineLevel="0" collapsed="false">
      <c r="B25" s="3" t="s">
        <v>36</v>
      </c>
      <c r="C25" s="6" t="n">
        <v>2500000</v>
      </c>
      <c r="D25" s="6" t="n">
        <v>3500000</v>
      </c>
      <c r="E25" s="6" t="n">
        <v>5000000</v>
      </c>
    </row>
    <row r="26" customFormat="false" ht="15" hidden="false" customHeight="false" outlineLevel="0" collapsed="false">
      <c r="B26" s="3" t="s">
        <v>37</v>
      </c>
      <c r="C26" s="6" t="n">
        <v>800000</v>
      </c>
      <c r="D26" s="6" t="n">
        <v>1000000</v>
      </c>
      <c r="E26" s="6" t="n">
        <v>1200000</v>
      </c>
    </row>
    <row r="27" customFormat="false" ht="15" hidden="false" customHeight="false" outlineLevel="0" collapsed="false">
      <c r="B27" s="3" t="s">
        <v>38</v>
      </c>
      <c r="C27" s="6" t="n">
        <v>1200000</v>
      </c>
      <c r="D27" s="6" t="n">
        <v>1600000</v>
      </c>
      <c r="E27" s="6" t="n">
        <v>2200000</v>
      </c>
    </row>
    <row r="28" customFormat="false" ht="15" hidden="false" customHeight="false" outlineLevel="0" collapsed="false">
      <c r="B28" s="4" t="s">
        <v>39</v>
      </c>
      <c r="C28" s="12" t="n">
        <f aca="false">SUM(C22:C27)</f>
        <v>11400000</v>
      </c>
      <c r="D28" s="12" t="n">
        <f aca="false">SUM(D22:D27)</f>
        <v>16800000</v>
      </c>
      <c r="E28" s="12" t="n">
        <f aca="false">SUM(E22:E27)</f>
        <v>24800000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16"/>
  </cols>
  <sheetData>
    <row r="2" customFormat="false" ht="18.55" hidden="false" customHeight="false" outlineLevel="0" collapsed="false">
      <c r="B2" s="1" t="s">
        <v>40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41</v>
      </c>
      <c r="C3" s="2"/>
      <c r="D3" s="2"/>
      <c r="E3" s="2"/>
      <c r="F3" s="2"/>
    </row>
    <row r="4" customFormat="false" ht="15" hidden="false" customHeight="false" outlineLevel="0" collapsed="false">
      <c r="B4" s="3"/>
      <c r="C4" s="11" t="s">
        <v>30</v>
      </c>
      <c r="D4" s="11" t="s">
        <v>31</v>
      </c>
      <c r="E4" s="11" t="s">
        <v>32</v>
      </c>
    </row>
    <row r="5" customFormat="false" ht="15" hidden="false" customHeight="false" outlineLevel="0" collapsed="false">
      <c r="B5" s="4" t="s">
        <v>42</v>
      </c>
      <c r="C5" s="12" t="n">
        <f aca="false">Assumptions!C5</f>
        <v>300</v>
      </c>
      <c r="D5" s="12" t="n">
        <f aca="false">Assumptions!C6</f>
        <v>750</v>
      </c>
      <c r="E5" s="12" t="n">
        <f aca="false">Assumptions!C7</f>
        <v>1500</v>
      </c>
    </row>
    <row r="7" customFormat="false" ht="15" hidden="false" customHeight="false" outlineLevel="0" collapsed="false">
      <c r="B7" s="3" t="s">
        <v>43</v>
      </c>
      <c r="C7" s="13" t="n">
        <f aca="false">C5*Assumptions!$C$12*Assumptions!$C$9</f>
        <v>600000</v>
      </c>
      <c r="D7" s="13" t="n">
        <f aca="false">D5*Assumptions!$C$12*Assumptions!$C$9</f>
        <v>1500000</v>
      </c>
      <c r="E7" s="13" t="n">
        <f aca="false">E5*Assumptions!$C$12*Assumptions!$C$9</f>
        <v>3000000</v>
      </c>
    </row>
    <row r="8" customFormat="false" ht="15" hidden="false" customHeight="false" outlineLevel="0" collapsed="false">
      <c r="B8" s="3" t="s">
        <v>44</v>
      </c>
      <c r="C8" s="13" t="n">
        <f aca="false">C5*Assumptions!$C$13*Assumptions!$C$8*Assumptions!$C$9</f>
        <v>2400000</v>
      </c>
      <c r="D8" s="13" t="n">
        <f aca="false">D5*Assumptions!$C$13*Assumptions!$C$8*Assumptions!$C$9</f>
        <v>6000000</v>
      </c>
      <c r="E8" s="13" t="n">
        <f aca="false">E5*Assumptions!$C$13*Assumptions!$C$8*Assumptions!$C$9</f>
        <v>12000000</v>
      </c>
    </row>
    <row r="9" customFormat="false" ht="15" hidden="false" customHeight="false" outlineLevel="0" collapsed="false">
      <c r="B9" s="3" t="s">
        <v>45</v>
      </c>
      <c r="C9" s="13" t="n">
        <f aca="false">C5*Assumptions!$C$14*Assumptions!$C$8*Assumptions!$C$9*Assumptions!$C$15</f>
        <v>1440000</v>
      </c>
      <c r="D9" s="13" t="n">
        <f aca="false">D5*Assumptions!$C$14*Assumptions!$C$8*Assumptions!$C$9*Assumptions!$C$15</f>
        <v>3600000</v>
      </c>
      <c r="E9" s="13" t="n">
        <f aca="false">E5*Assumptions!$C$14*Assumptions!$C$8*Assumptions!$C$9*Assumptions!$C$15</f>
        <v>7200000</v>
      </c>
    </row>
    <row r="10" customFormat="false" ht="15" hidden="false" customHeight="false" outlineLevel="0" collapsed="false">
      <c r="B10" s="3" t="s">
        <v>46</v>
      </c>
      <c r="C10" s="13" t="n">
        <f aca="false">C5*Assumptions!$C$16*Assumptions!$C$17*Assumptions!$C$18</f>
        <v>450000</v>
      </c>
      <c r="D10" s="13" t="n">
        <f aca="false">D5*Assumptions!$C$16*Assumptions!$C$17*Assumptions!$C$18</f>
        <v>1125000</v>
      </c>
      <c r="E10" s="13" t="n">
        <f aca="false">E5*Assumptions!$C$16*Assumptions!$C$17*Assumptions!$C$18</f>
        <v>2250000</v>
      </c>
    </row>
    <row r="11" customFormat="false" ht="15" hidden="false" customHeight="false" outlineLevel="0" collapsed="false">
      <c r="B11" s="4" t="s">
        <v>47</v>
      </c>
      <c r="C11" s="12" t="n">
        <f aca="false">SUM(C7:C10)</f>
        <v>4890000</v>
      </c>
      <c r="D11" s="12" t="n">
        <f aca="false">SUM(D7:D10)</f>
        <v>12225000</v>
      </c>
      <c r="E11" s="12" t="n">
        <f aca="false">SUM(E7:E10)</f>
        <v>24450000</v>
      </c>
    </row>
    <row r="13" customFormat="false" ht="15" hidden="false" customHeight="false" outlineLevel="0" collapsed="false">
      <c r="B13" s="3" t="s">
        <v>48</v>
      </c>
      <c r="C13" s="13" t="n">
        <f aca="false">-C5*Assumptions!$C$19</f>
        <v>-150000</v>
      </c>
      <c r="D13" s="13" t="n">
        <f aca="false">-D5*Assumptions!$C$19</f>
        <v>-375000</v>
      </c>
      <c r="E13" s="13" t="n">
        <f aca="false">-E5*Assumptions!$C$19</f>
        <v>-750000</v>
      </c>
    </row>
    <row r="14" customFormat="false" ht="15" hidden="false" customHeight="false" outlineLevel="0" collapsed="false">
      <c r="B14" s="4" t="s">
        <v>49</v>
      </c>
      <c r="C14" s="12" t="n">
        <f aca="false">C11+C13</f>
        <v>4740000</v>
      </c>
      <c r="D14" s="12" t="n">
        <f aca="false">D11+D13</f>
        <v>11850000</v>
      </c>
      <c r="E14" s="12" t="n">
        <f aca="false">E11+E13</f>
        <v>23700000</v>
      </c>
    </row>
    <row r="15" customFormat="false" ht="15" hidden="false" customHeight="false" outlineLevel="0" collapsed="false">
      <c r="B15" s="3" t="s">
        <v>50</v>
      </c>
      <c r="C15" s="14" t="n">
        <f aca="false">C14/C11</f>
        <v>0.969325153374233</v>
      </c>
      <c r="D15" s="14" t="n">
        <f aca="false">D14/D11</f>
        <v>0.969325153374233</v>
      </c>
      <c r="E15" s="14" t="n">
        <f aca="false">E14/E11</f>
        <v>0.969325153374233</v>
      </c>
    </row>
    <row r="17" customFormat="false" ht="15" hidden="false" customHeight="false" outlineLevel="0" collapsed="false">
      <c r="B17" s="3" t="s">
        <v>51</v>
      </c>
      <c r="C17" s="13" t="n">
        <f aca="false">-Assumptions!C28</f>
        <v>-11400000</v>
      </c>
      <c r="D17" s="13" t="n">
        <f aca="false">-Assumptions!D28</f>
        <v>-16800000</v>
      </c>
      <c r="E17" s="13" t="n">
        <f aca="false">-Assumptions!E28</f>
        <v>-24800000</v>
      </c>
    </row>
    <row r="18" customFormat="false" ht="15" hidden="false" customHeight="false" outlineLevel="0" collapsed="false">
      <c r="B18" s="4" t="s">
        <v>52</v>
      </c>
      <c r="C18" s="12" t="n">
        <f aca="false">C14+C17</f>
        <v>-6660000</v>
      </c>
      <c r="D18" s="12" t="n">
        <f aca="false">D14+D17</f>
        <v>-4950000</v>
      </c>
      <c r="E18" s="12" t="n">
        <f aca="false">E14+E17</f>
        <v>-1100000</v>
      </c>
    </row>
    <row r="19" customFormat="false" ht="15" hidden="false" customHeight="false" outlineLevel="0" collapsed="false">
      <c r="B19" s="3" t="s">
        <v>53</v>
      </c>
      <c r="C19" s="14" t="n">
        <f aca="false">C18/C11</f>
        <v>-1.36196319018405</v>
      </c>
      <c r="D19" s="14" t="n">
        <f aca="false">D18/D11</f>
        <v>-0.404907975460123</v>
      </c>
      <c r="E19" s="14" t="n">
        <f aca="false">E18/E11</f>
        <v>-0.0449897750511247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</cols>
  <sheetData>
    <row r="2" customFormat="false" ht="18.55" hidden="false" customHeight="false" outlineLevel="0" collapsed="false">
      <c r="B2" s="1" t="s">
        <v>54</v>
      </c>
      <c r="C2" s="1"/>
      <c r="D2" s="1"/>
      <c r="E2" s="1"/>
      <c r="F2" s="1"/>
    </row>
    <row r="3" customFormat="false" ht="15" hidden="false" customHeight="false" outlineLevel="0" collapsed="false">
      <c r="B3" s="2" t="s">
        <v>55</v>
      </c>
      <c r="C3" s="2"/>
      <c r="D3" s="2"/>
      <c r="E3" s="2"/>
      <c r="F3" s="2"/>
    </row>
    <row r="4" customFormat="false" ht="15" hidden="false" customHeight="false" outlineLevel="0" collapsed="false">
      <c r="B4" s="5" t="s">
        <v>56</v>
      </c>
    </row>
    <row r="5" customFormat="false" ht="15" hidden="false" customHeight="false" outlineLevel="0" collapsed="false">
      <c r="B5" s="3" t="s">
        <v>57</v>
      </c>
      <c r="C5" s="13" t="n">
        <f aca="false">Assumptions!C12*Assumptions!C9</f>
        <v>2000</v>
      </c>
    </row>
    <row r="6" customFormat="false" ht="15" hidden="false" customHeight="false" outlineLevel="0" collapsed="false">
      <c r="B6" s="3" t="s">
        <v>58</v>
      </c>
      <c r="C6" s="13" t="n">
        <f aca="false">Assumptions!C13*Assumptions!C8*Assumptions!C9</f>
        <v>8000</v>
      </c>
    </row>
    <row r="7" customFormat="false" ht="15" hidden="false" customHeight="false" outlineLevel="0" collapsed="false">
      <c r="B7" s="3" t="s">
        <v>59</v>
      </c>
      <c r="C7" s="13" t="n">
        <f aca="false">Assumptions!C14*Assumptions!C8*Assumptions!C9*Assumptions!C15</f>
        <v>4800</v>
      </c>
    </row>
    <row r="8" customFormat="false" ht="15" hidden="false" customHeight="false" outlineLevel="0" collapsed="false">
      <c r="B8" s="3" t="s">
        <v>60</v>
      </c>
      <c r="C8" s="13" t="n">
        <f aca="false">Assumptions!C16*Assumptions!C17*Assumptions!C18</f>
        <v>1500</v>
      </c>
    </row>
    <row r="9" customFormat="false" ht="15" hidden="false" customHeight="false" outlineLevel="0" collapsed="false">
      <c r="B9" s="4" t="s">
        <v>61</v>
      </c>
      <c r="C9" s="12" t="n">
        <f aca="false">SUM(C5:C8)</f>
        <v>16300</v>
      </c>
    </row>
    <row r="10" customFormat="false" ht="15" hidden="false" customHeight="false" outlineLevel="0" collapsed="false">
      <c r="B10" s="3" t="s">
        <v>62</v>
      </c>
      <c r="C10" s="13" t="n">
        <f aca="false">Assumptions!C19</f>
        <v>500</v>
      </c>
    </row>
    <row r="11" customFormat="false" ht="15" hidden="false" customHeight="false" outlineLevel="0" collapsed="false">
      <c r="B11" s="4" t="s">
        <v>63</v>
      </c>
      <c r="C11" s="12" t="n">
        <f aca="false">C9-C10</f>
        <v>15800</v>
      </c>
    </row>
    <row r="12" customFormat="false" ht="15" hidden="false" customHeight="false" outlineLevel="0" collapsed="false">
      <c r="B12" s="3" t="s">
        <v>50</v>
      </c>
      <c r="C12" s="14" t="n">
        <f aca="false">C11/C9</f>
        <v>0.969325153374233</v>
      </c>
    </row>
    <row r="14" customFormat="false" ht="15" hidden="false" customHeight="false" outlineLevel="0" collapsed="false">
      <c r="B14" s="5" t="s">
        <v>64</v>
      </c>
    </row>
    <row r="15" customFormat="false" ht="15" hidden="false" customHeight="false" outlineLevel="0" collapsed="false">
      <c r="B15" s="3" t="s">
        <v>65</v>
      </c>
      <c r="C15" s="13" t="n">
        <f aca="false">Assumptions!C28</f>
        <v>11400000</v>
      </c>
    </row>
    <row r="16" customFormat="false" ht="15" hidden="false" customHeight="false" outlineLevel="0" collapsed="false">
      <c r="B16" s="4" t="s">
        <v>66</v>
      </c>
      <c r="C16" s="15" t="n">
        <f aca="false">C15/C11</f>
        <v>721.518987341772</v>
      </c>
    </row>
    <row r="17" customFormat="false" ht="15" hidden="false" customHeight="false" outlineLevel="0" collapsed="false">
      <c r="B17" s="3" t="s">
        <v>67</v>
      </c>
      <c r="C17" s="13" t="n">
        <f aca="false">Assumptions!C5</f>
        <v>300</v>
      </c>
    </row>
    <row r="18" customFormat="false" ht="15" hidden="false" customHeight="false" outlineLevel="0" collapsed="false">
      <c r="B18" s="3" t="s">
        <v>68</v>
      </c>
      <c r="C18" s="16" t="n">
        <f aca="false">C17-C16</f>
        <v>-421.518987341772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6" min="4" style="0" width="16"/>
  </cols>
  <sheetData>
    <row r="2" customFormat="false" ht="18.55" hidden="false" customHeight="false" outlineLevel="0" collapsed="false">
      <c r="B2" s="1" t="s">
        <v>69</v>
      </c>
      <c r="C2" s="1"/>
      <c r="D2" s="1"/>
      <c r="E2" s="1"/>
      <c r="F2" s="1"/>
    </row>
    <row r="3" customFormat="false" ht="15" hidden="false" customHeight="false" outlineLevel="0" collapsed="false">
      <c r="B3" s="2" t="s">
        <v>70</v>
      </c>
      <c r="C3" s="2"/>
      <c r="D3" s="2"/>
      <c r="E3" s="2"/>
      <c r="F3" s="2"/>
    </row>
    <row r="4" customFormat="false" ht="15" hidden="false" customHeight="false" outlineLevel="0" collapsed="false">
      <c r="B4" s="17" t="s">
        <v>71</v>
      </c>
      <c r="C4" s="17" t="s">
        <v>72</v>
      </c>
      <c r="D4" s="17" t="s">
        <v>73</v>
      </c>
      <c r="E4" s="17" t="s">
        <v>74</v>
      </c>
      <c r="F4" s="17" t="s">
        <v>75</v>
      </c>
    </row>
    <row r="5" customFormat="false" ht="15" hidden="false" customHeight="false" outlineLevel="0" collapsed="false">
      <c r="B5" s="3" t="s">
        <v>76</v>
      </c>
      <c r="C5" s="18" t="n">
        <v>0.7</v>
      </c>
      <c r="D5" s="13" t="n">
        <f aca="false">UnitEconomics!$C$11*Assumptions!$C$5*$C5-Assumptions!$C$28</f>
        <v>-8082000</v>
      </c>
      <c r="E5" s="13" t="n">
        <f aca="false">UnitEconomics!$C$11*Assumptions!$C$6*$C5-Assumptions!$D$28</f>
        <v>-8505000</v>
      </c>
      <c r="F5" s="13" t="n">
        <f aca="false">UnitEconomics!$C$11*Assumptions!$C$7*$C5-Assumptions!$E$28</f>
        <v>-8210000</v>
      </c>
    </row>
    <row r="6" customFormat="false" ht="15" hidden="false" customHeight="false" outlineLevel="0" collapsed="false">
      <c r="B6" s="3" t="s">
        <v>77</v>
      </c>
      <c r="C6" s="18" t="n">
        <v>1</v>
      </c>
      <c r="D6" s="13" t="n">
        <f aca="false">UnitEconomics!$C$11*Assumptions!$C$5*$C6-Assumptions!$C$28</f>
        <v>-6660000</v>
      </c>
      <c r="E6" s="13" t="n">
        <f aca="false">UnitEconomics!$C$11*Assumptions!$C$6*$C6-Assumptions!$D$28</f>
        <v>-4950000</v>
      </c>
      <c r="F6" s="13" t="n">
        <f aca="false">UnitEconomics!$C$11*Assumptions!$C$7*$C6-Assumptions!$E$28</f>
        <v>-1100000</v>
      </c>
    </row>
    <row r="7" customFormat="false" ht="15" hidden="false" customHeight="false" outlineLevel="0" collapsed="false">
      <c r="B7" s="3" t="s">
        <v>78</v>
      </c>
      <c r="C7" s="18" t="n">
        <v>1.3</v>
      </c>
      <c r="D7" s="13" t="n">
        <f aca="false">UnitEconomics!$C$11*Assumptions!$C$5*$C7-Assumptions!$C$28</f>
        <v>-5238000</v>
      </c>
      <c r="E7" s="13" t="n">
        <f aca="false">UnitEconomics!$C$11*Assumptions!$C$6*$C7-Assumptions!$D$28</f>
        <v>-1395000</v>
      </c>
      <c r="F7" s="13" t="n">
        <f aca="false">UnitEconomics!$C$11*Assumptions!$C$7*$C7-Assumptions!$E$28</f>
        <v>6010000</v>
      </c>
    </row>
    <row r="9" customFormat="false" ht="15" hidden="false" customHeight="false" outlineLevel="0" collapsed="false">
      <c r="B9" s="19" t="s">
        <v>79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8134CB-CD3D-440C-B542-C8FCF68A092B}"/>
</file>

<file path=customXml/itemProps2.xml><?xml version="1.0" encoding="utf-8"?>
<ds:datastoreItem xmlns:ds="http://schemas.openxmlformats.org/officeDocument/2006/customXml" ds:itemID="{29D881F9-0D25-4B2D-B787-380FFEAA1F0C}"/>
</file>

<file path=customXml/itemProps3.xml><?xml version="1.0" encoding="utf-8"?>
<ds:datastoreItem xmlns:ds="http://schemas.openxmlformats.org/officeDocument/2006/customXml" ds:itemID="{9FA259BE-0717-4500-9B94-E4D31D93B4E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2026-07-19T13:28:16Z</dcterms:created>
  <dcterms:modified xsi:type="dcterms:W3CDTF">2026-07-19T13:28:16Z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