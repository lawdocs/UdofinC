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Unit Economics" sheetId="3" state="visible" r:id="rId3"/>
    <sheet xmlns:r="http://schemas.openxmlformats.org/officeDocument/2006/relationships" name="P&amp;L (12-mo ramp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10"/>
    </font>
    <font>
      <name val="Arial"/>
      <b val="1"/>
      <color rgb="FF123B4F"/>
      <sz val="10"/>
    </font>
    <font>
      <name val="Arial"/>
      <b val="1"/>
      <color rgb="FF123B4F"/>
      <sz val="11"/>
    </font>
    <font>
      <name val="Arial"/>
      <b val="1"/>
      <color rgb="FFFFFFFF"/>
      <sz val="10"/>
    </font>
    <font>
      <name val="Arial"/>
      <color rgb="FF0000FF"/>
      <sz val="10"/>
    </font>
    <font>
      <name val="Arial"/>
      <color rgb="FF556168"/>
      <sz val="8"/>
    </font>
  </fonts>
  <fills count="4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FF6D5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top" wrapText="1"/>
    </xf>
    <xf numFmtId="3" fontId="7" fillId="3" borderId="1" pivotButton="0" quotePrefix="0" xfId="0"/>
    <xf numFmtId="3" fontId="4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2" fontId="3" fillId="0" borderId="1" pivotButton="0" quotePrefix="0" xfId="0"/>
    <xf numFmtId="3" fontId="8" fillId="0" borderId="1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Equator Resolution — Financial &amp; Loan Unit-Economics &amp; P&amp;L Model</t>
        </is>
      </c>
    </row>
    <row r="3">
      <c r="B3" s="2" t="inlineStr">
        <is>
          <t>A high-volume, low-ticket model tiered by matter type (OTS, cheque-bounce, grievance).</t>
        </is>
      </c>
    </row>
    <row r="5">
      <c r="B5" s="3" t="inlineStr"/>
    </row>
    <row r="6">
      <c r="B6" s="4" t="inlineStr">
        <is>
          <t>HOW TO USE</t>
        </is>
      </c>
    </row>
    <row r="7">
      <c r="B7" s="3" t="inlineStr">
        <is>
          <t>- Edit blue/yellow inputs on 'Assumptions'. 'Unit Economics' and 'P&amp;L' recompute automatically.</t>
        </is>
      </c>
    </row>
    <row r="8">
      <c r="B8" s="3" t="inlineStr">
        <is>
          <t>- Matter mix and monthly volume drive the P&amp;L; find the break-even month in the P&amp;L sheet.</t>
        </is>
      </c>
    </row>
    <row r="9">
      <c r="B9" s="3" t="inlineStr">
        <is>
          <t>- All figures illustrative and must be validated against real cost and pricing data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16" customWidth="1" min="4" max="4"/>
    <col width="16" customWidth="1" min="5" max="5"/>
  </cols>
  <sheetData>
    <row r="2">
      <c r="B2" s="1" t="inlineStr">
        <is>
          <t>Assumptions (edit blue/yellow)</t>
        </is>
      </c>
    </row>
    <row r="4">
      <c r="B4" s="5" t="inlineStr">
        <is>
          <t>Per-matter-type revenue &amp; cost (₹ per case)</t>
        </is>
      </c>
    </row>
    <row r="5">
      <c r="B5" s="6" t="inlineStr">
        <is>
          <t>Item</t>
        </is>
      </c>
      <c r="C5" s="6" t="inlineStr">
        <is>
          <t>OTS / default</t>
        </is>
      </c>
      <c r="D5" s="6" t="inlineStr">
        <is>
          <t>Cheque (138)</t>
        </is>
      </c>
      <c r="E5" s="6" t="inlineStr">
        <is>
          <t>Grievance/DL</t>
        </is>
      </c>
    </row>
    <row r="6">
      <c r="B6" s="3" t="inlineStr">
        <is>
          <t>Registration + admin fee</t>
        </is>
      </c>
      <c r="C6" s="7" t="n">
        <v>1800</v>
      </c>
      <c r="D6" s="7" t="n">
        <v>1200</v>
      </c>
      <c r="E6" s="7" t="n">
        <v>800</v>
      </c>
    </row>
    <row r="7">
      <c r="B7" s="3" t="inlineStr">
        <is>
          <t>Institution success/settlement fee</t>
        </is>
      </c>
      <c r="C7" s="7" t="n">
        <v>3000</v>
      </c>
      <c r="D7" s="7" t="n">
        <v>1500</v>
      </c>
      <c r="E7" s="7" t="n">
        <v>600</v>
      </c>
    </row>
    <row r="8">
      <c r="B8" s="3" t="inlineStr">
        <is>
          <t>Escrow handling (net to Equator)</t>
        </is>
      </c>
      <c r="C8" s="7" t="n">
        <v>800</v>
      </c>
      <c r="D8" s="7" t="n">
        <v>400</v>
      </c>
      <c r="E8" s="7" t="n">
        <v>0</v>
      </c>
    </row>
    <row r="9">
      <c r="B9" s="3" t="inlineStr">
        <is>
          <t>Direct neutral cost (per case)</t>
        </is>
      </c>
      <c r="C9" s="7" t="n">
        <v>-2000</v>
      </c>
      <c r="D9" s="7" t="n">
        <v>-1200</v>
      </c>
      <c r="E9" s="7" t="n">
        <v>-700</v>
      </c>
    </row>
    <row r="10">
      <c r="B10" s="3" t="inlineStr">
        <is>
          <t>Direct servicing/ops cost (per case)</t>
        </is>
      </c>
      <c r="C10" s="7" t="n">
        <v>-800</v>
      </c>
      <c r="D10" s="7" t="n">
        <v>-600</v>
      </c>
      <c r="E10" s="7" t="n">
        <v>-400</v>
      </c>
    </row>
    <row r="12">
      <c r="B12" s="5" t="inlineStr">
        <is>
          <t>Monthly volume &amp; mix (steady-state)</t>
        </is>
      </c>
    </row>
    <row r="13">
      <c r="B13" s="6" t="inlineStr">
        <is>
          <t>Item</t>
        </is>
      </c>
      <c r="C13" s="6" t="inlineStr">
        <is>
          <t>OTS / default</t>
        </is>
      </c>
      <c r="D13" s="6" t="inlineStr">
        <is>
          <t>Cheque (138)</t>
        </is>
      </c>
      <c r="E13" s="6" t="inlineStr">
        <is>
          <t>Grievance/DL</t>
        </is>
      </c>
    </row>
    <row r="14">
      <c r="B14" s="3" t="inlineStr">
        <is>
          <t>Cases per month (steady-state)</t>
        </is>
      </c>
      <c r="C14" s="7" t="n">
        <v>400</v>
      </c>
      <c r="D14" s="7" t="n">
        <v>500</v>
      </c>
      <c r="E14" s="7" t="n">
        <v>250</v>
      </c>
    </row>
    <row r="16">
      <c r="B16" s="5" t="inlineStr">
        <is>
          <t>Fixed monthly costs (₹)</t>
        </is>
      </c>
    </row>
    <row r="17">
      <c r="B17" s="3" t="inlineStr">
        <is>
          <t>Platform &amp; technology</t>
        </is>
      </c>
      <c r="C17" s="7" t="n">
        <v>250000</v>
      </c>
    </row>
    <row r="18">
      <c r="B18" s="3" t="inlineStr">
        <is>
          <t>Core team &amp; panel management</t>
        </is>
      </c>
      <c r="C18" s="7" t="n">
        <v>650000</v>
      </c>
    </row>
    <row r="19">
      <c r="B19" s="3" t="inlineStr">
        <is>
          <t>Compliance, legal &amp; audit</t>
        </is>
      </c>
      <c r="C19" s="7" t="n">
        <v>180000</v>
      </c>
    </row>
    <row r="20">
      <c r="B20" s="3" t="inlineStr">
        <is>
          <t>Sales / lender BD &amp; marketing</t>
        </is>
      </c>
      <c r="C20" s="7" t="n">
        <v>300000</v>
      </c>
    </row>
    <row r="21">
      <c r="B21" s="3" t="inlineStr">
        <is>
          <t>G&amp;A / overheads</t>
        </is>
      </c>
      <c r="C21" s="7" t="n">
        <v>220000</v>
      </c>
    </row>
    <row r="23">
      <c r="B23" s="4" t="inlineStr">
        <is>
          <t>Total fixed monthly cost</t>
        </is>
      </c>
      <c r="C23" s="8">
        <f>SUM(C17:C21)</f>
        <v/>
      </c>
    </row>
    <row r="25">
      <c r="B25" s="3" t="inlineStr">
        <is>
          <t>Ramp: months to steady-state</t>
        </is>
      </c>
      <c r="C25" s="7" t="n">
        <v>12</v>
      </c>
    </row>
  </sheetData>
  <mergeCells count="1"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16" customWidth="1" min="4" max="4"/>
    <col width="16" customWidth="1" min="5" max="5"/>
  </cols>
  <sheetData>
    <row r="2">
      <c r="B2" s="1" t="inlineStr">
        <is>
          <t>Unit Economics (per case, by matter type)</t>
        </is>
      </c>
    </row>
    <row r="4">
      <c r="B4" s="6" t="inlineStr">
        <is>
          <t>Item</t>
        </is>
      </c>
      <c r="C4" s="6" t="inlineStr">
        <is>
          <t>OTS / default</t>
        </is>
      </c>
      <c r="D4" s="6" t="inlineStr">
        <is>
          <t>Cheque (138)</t>
        </is>
      </c>
      <c r="E4" s="6" t="inlineStr">
        <is>
          <t>Grievance/DL</t>
        </is>
      </c>
    </row>
    <row r="5">
      <c r="B5" s="3" t="inlineStr">
        <is>
          <t>Gross revenue</t>
        </is>
      </c>
      <c r="C5" s="9">
        <f>Assumptions!C6+Assumptions!C7+Assumptions!C8</f>
        <v/>
      </c>
      <c r="D5" s="9">
        <f>Assumptions!D6+Assumptions!D7+Assumptions!D8</f>
        <v/>
      </c>
      <c r="E5" s="9">
        <f>Assumptions!E6+Assumptions!E7+Assumptions!E8</f>
        <v/>
      </c>
    </row>
    <row r="6">
      <c r="B6" s="3" t="inlineStr">
        <is>
          <t>Direct cost</t>
        </is>
      </c>
      <c r="C6" s="9">
        <f>Assumptions!C9+Assumptions!C10</f>
        <v/>
      </c>
      <c r="D6" s="9">
        <f>Assumptions!D9+Assumptions!D10</f>
        <v/>
      </c>
      <c r="E6" s="9">
        <f>Assumptions!E9+Assumptions!E10</f>
        <v/>
      </c>
    </row>
    <row r="7">
      <c r="B7" s="4" t="inlineStr">
        <is>
          <t>Contribution / case</t>
        </is>
      </c>
      <c r="C7" s="8">
        <f>C5+C6</f>
        <v/>
      </c>
      <c r="D7" s="8">
        <f>D5+D6</f>
        <v/>
      </c>
      <c r="E7" s="8">
        <f>E5+E6</f>
        <v/>
      </c>
    </row>
    <row r="8">
      <c r="B8" s="3" t="inlineStr">
        <is>
          <t>Contribution margin</t>
        </is>
      </c>
      <c r="C8" s="10">
        <f>IFERROR(C7/C5,0)</f>
        <v/>
      </c>
      <c r="D8" s="10">
        <f>IFERROR(D7/D5,0)</f>
        <v/>
      </c>
      <c r="E8" s="10">
        <f>IFERROR(E7/E5,0)</f>
        <v/>
      </c>
    </row>
    <row r="10">
      <c r="B10" s="3" t="inlineStr">
        <is>
          <t>Monthly cases</t>
        </is>
      </c>
      <c r="C10" s="9">
        <f>Assumptions!C14</f>
        <v/>
      </c>
      <c r="D10" s="9">
        <f>Assumptions!D14</f>
        <v/>
      </c>
      <c r="E10" s="9">
        <f>Assumptions!E14</f>
        <v/>
      </c>
    </row>
    <row r="11">
      <c r="B11" s="4" t="inlineStr">
        <is>
          <t>Monthly contribution</t>
        </is>
      </c>
      <c r="C11" s="8">
        <f>C7*C10</f>
        <v/>
      </c>
      <c r="D11" s="8">
        <f>D7*D10</f>
        <v/>
      </c>
      <c r="E11" s="8">
        <f>E7*E10</f>
        <v/>
      </c>
    </row>
    <row r="13">
      <c r="B13" s="4" t="inlineStr">
        <is>
          <t>Blended monthly contribution (all types)</t>
        </is>
      </c>
      <c r="C13" s="8">
        <f>C11+D11+E11</f>
        <v/>
      </c>
    </row>
    <row r="14">
      <c r="B14" s="4" t="inlineStr">
        <is>
          <t>Blended contribution / case</t>
        </is>
      </c>
      <c r="C14" s="8">
        <f>IFERROR((C11+D11+E11)/(C10+D10+E10),0)</f>
        <v/>
      </c>
    </row>
    <row r="16">
      <c r="B16" s="2" t="inlineStr">
        <is>
          <t>Contribution = revenue net of direct (per-case) costs, before fixed costs.</t>
        </is>
      </c>
    </row>
  </sheetData>
  <mergeCells count="1"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" t="inlineStr">
        <is>
          <t>Monthly P&amp;L — linear ramp to steady-state</t>
        </is>
      </c>
    </row>
    <row r="4">
      <c r="B4" s="6" t="inlineStr">
        <is>
          <t>Month</t>
        </is>
      </c>
      <c r="C4" s="6" t="inlineStr">
        <is>
          <t>M1</t>
        </is>
      </c>
      <c r="D4" s="6" t="inlineStr">
        <is>
          <t>M2</t>
        </is>
      </c>
      <c r="E4" s="6" t="inlineStr">
        <is>
          <t>M3</t>
        </is>
      </c>
      <c r="F4" s="6" t="inlineStr">
        <is>
          <t>M4</t>
        </is>
      </c>
      <c r="G4" s="6" t="inlineStr">
        <is>
          <t>M5</t>
        </is>
      </c>
      <c r="H4" s="6" t="inlineStr">
        <is>
          <t>M6</t>
        </is>
      </c>
      <c r="I4" s="6" t="inlineStr">
        <is>
          <t>M7</t>
        </is>
      </c>
      <c r="J4" s="6" t="inlineStr">
        <is>
          <t>M8</t>
        </is>
      </c>
      <c r="K4" s="6" t="inlineStr">
        <is>
          <t>M9</t>
        </is>
      </c>
      <c r="L4" s="6" t="inlineStr">
        <is>
          <t>M10</t>
        </is>
      </c>
      <c r="M4" s="6" t="inlineStr">
        <is>
          <t>M11</t>
        </is>
      </c>
      <c r="N4" s="6" t="inlineStr">
        <is>
          <t>M12</t>
        </is>
      </c>
    </row>
    <row r="5">
      <c r="B5" s="3" t="inlineStr">
        <is>
          <t>Ramp factor</t>
        </is>
      </c>
      <c r="C5" s="11">
        <f>MIN(1,1/Assumptions!$C$25)</f>
        <v/>
      </c>
      <c r="D5" s="11">
        <f>MIN(1,2/Assumptions!$C$25)</f>
        <v/>
      </c>
      <c r="E5" s="11">
        <f>MIN(1,3/Assumptions!$C$25)</f>
        <v/>
      </c>
      <c r="F5" s="11">
        <f>MIN(1,4/Assumptions!$C$25)</f>
        <v/>
      </c>
      <c r="G5" s="11">
        <f>MIN(1,5/Assumptions!$C$25)</f>
        <v/>
      </c>
      <c r="H5" s="11">
        <f>MIN(1,6/Assumptions!$C$25)</f>
        <v/>
      </c>
      <c r="I5" s="11">
        <f>MIN(1,7/Assumptions!$C$25)</f>
        <v/>
      </c>
      <c r="J5" s="11">
        <f>MIN(1,8/Assumptions!$C$25)</f>
        <v/>
      </c>
      <c r="K5" s="11">
        <f>MIN(1,9/Assumptions!$C$25)</f>
        <v/>
      </c>
      <c r="L5" s="11">
        <f>MIN(1,10/Assumptions!$C$25)</f>
        <v/>
      </c>
      <c r="M5" s="11">
        <f>MIN(1,11/Assumptions!$C$25)</f>
        <v/>
      </c>
      <c r="N5" s="11">
        <f>MIN(1,12/Assumptions!$C$25)</f>
        <v/>
      </c>
    </row>
    <row r="6">
      <c r="B6" s="3" t="inlineStr">
        <is>
          <t>Contribution (₹)</t>
        </is>
      </c>
      <c r="C6" s="9">
        <f>'Unit Economics'!$C$13*C5</f>
        <v/>
      </c>
      <c r="D6" s="9">
        <f>'Unit Economics'!$C$13*D5</f>
        <v/>
      </c>
      <c r="E6" s="9">
        <f>'Unit Economics'!$C$13*E5</f>
        <v/>
      </c>
      <c r="F6" s="9">
        <f>'Unit Economics'!$C$13*F5</f>
        <v/>
      </c>
      <c r="G6" s="9">
        <f>'Unit Economics'!$C$13*G5</f>
        <v/>
      </c>
      <c r="H6" s="9">
        <f>'Unit Economics'!$C$13*H5</f>
        <v/>
      </c>
      <c r="I6" s="9">
        <f>'Unit Economics'!$C$13*I5</f>
        <v/>
      </c>
      <c r="J6" s="9">
        <f>'Unit Economics'!$C$13*J5</f>
        <v/>
      </c>
      <c r="K6" s="9">
        <f>'Unit Economics'!$C$13*K5</f>
        <v/>
      </c>
      <c r="L6" s="9">
        <f>'Unit Economics'!$C$13*L5</f>
        <v/>
      </c>
      <c r="M6" s="9">
        <f>'Unit Economics'!$C$13*M5</f>
        <v/>
      </c>
      <c r="N6" s="9">
        <f>'Unit Economics'!$C$13*N5</f>
        <v/>
      </c>
    </row>
    <row r="7">
      <c r="B7" s="3" t="inlineStr">
        <is>
          <t>Fixed cost (₹)</t>
        </is>
      </c>
      <c r="C7" s="9">
        <f>Assumptions!$C$23</f>
        <v/>
      </c>
      <c r="D7" s="9">
        <f>Assumptions!$C$23</f>
        <v/>
      </c>
      <c r="E7" s="9">
        <f>Assumptions!$C$23</f>
        <v/>
      </c>
      <c r="F7" s="9">
        <f>Assumptions!$C$23</f>
        <v/>
      </c>
      <c r="G7" s="9">
        <f>Assumptions!$C$23</f>
        <v/>
      </c>
      <c r="H7" s="9">
        <f>Assumptions!$C$23</f>
        <v/>
      </c>
      <c r="I7" s="9">
        <f>Assumptions!$C$23</f>
        <v/>
      </c>
      <c r="J7" s="9">
        <f>Assumptions!$C$23</f>
        <v/>
      </c>
      <c r="K7" s="9">
        <f>Assumptions!$C$23</f>
        <v/>
      </c>
      <c r="L7" s="9">
        <f>Assumptions!$C$23</f>
        <v/>
      </c>
      <c r="M7" s="9">
        <f>Assumptions!$C$23</f>
        <v/>
      </c>
      <c r="N7" s="9">
        <f>Assumptions!$C$23</f>
        <v/>
      </c>
    </row>
    <row r="8">
      <c r="B8" s="4" t="inlineStr">
        <is>
          <t>EBITDA (₹)</t>
        </is>
      </c>
      <c r="C8" s="8">
        <f>C6-C7</f>
        <v/>
      </c>
      <c r="D8" s="8">
        <f>D6-D7</f>
        <v/>
      </c>
      <c r="E8" s="8">
        <f>E6-E7</f>
        <v/>
      </c>
      <c r="F8" s="8">
        <f>F6-F7</f>
        <v/>
      </c>
      <c r="G8" s="8">
        <f>G6-G7</f>
        <v/>
      </c>
      <c r="H8" s="8">
        <f>H6-H7</f>
        <v/>
      </c>
      <c r="I8" s="8">
        <f>I6-I7</f>
        <v/>
      </c>
      <c r="J8" s="8">
        <f>J6-J7</f>
        <v/>
      </c>
      <c r="K8" s="8">
        <f>K6-K7</f>
        <v/>
      </c>
      <c r="L8" s="8">
        <f>L6-L7</f>
        <v/>
      </c>
      <c r="M8" s="8">
        <f>M6-M7</f>
        <v/>
      </c>
      <c r="N8" s="8">
        <f>N6-N7</f>
        <v/>
      </c>
    </row>
    <row r="9">
      <c r="B9" s="3" t="inlineStr">
        <is>
          <t>Cumulative EBITDA (₹)</t>
        </is>
      </c>
      <c r="C9" s="9">
        <f>C8</f>
        <v/>
      </c>
      <c r="D9" s="9">
        <f>C9+D8</f>
        <v/>
      </c>
      <c r="E9" s="9">
        <f>D9+E8</f>
        <v/>
      </c>
      <c r="F9" s="9">
        <f>E9+F8</f>
        <v/>
      </c>
      <c r="G9" s="9">
        <f>F9+G8</f>
        <v/>
      </c>
      <c r="H9" s="9">
        <f>G9+H8</f>
        <v/>
      </c>
      <c r="I9" s="9">
        <f>H9+I8</f>
        <v/>
      </c>
      <c r="J9" s="9">
        <f>I9+J8</f>
        <v/>
      </c>
      <c r="K9" s="9">
        <f>J9+K8</f>
        <v/>
      </c>
      <c r="L9" s="9">
        <f>K9+L8</f>
        <v/>
      </c>
      <c r="M9" s="9">
        <f>L9+M8</f>
        <v/>
      </c>
      <c r="N9" s="9">
        <f>M9+N8</f>
        <v/>
      </c>
    </row>
    <row r="10">
      <c r="B10" s="3" t="inlineStr">
        <is>
          <t>(helper: positive-EBITDA month)</t>
        </is>
      </c>
      <c r="C10" s="12">
        <f>IF(C8&gt;0,1,9999)</f>
        <v/>
      </c>
      <c r="D10" s="12">
        <f>IF(D8&gt;0,2,9999)</f>
        <v/>
      </c>
      <c r="E10" s="12">
        <f>IF(E8&gt;0,3,9999)</f>
        <v/>
      </c>
      <c r="F10" s="12">
        <f>IF(F8&gt;0,4,9999)</f>
        <v/>
      </c>
      <c r="G10" s="12">
        <f>IF(G8&gt;0,5,9999)</f>
        <v/>
      </c>
      <c r="H10" s="12">
        <f>IF(H8&gt;0,6,9999)</f>
        <v/>
      </c>
      <c r="I10" s="12">
        <f>IF(I8&gt;0,7,9999)</f>
        <v/>
      </c>
      <c r="J10" s="12">
        <f>IF(J8&gt;0,8,9999)</f>
        <v/>
      </c>
      <c r="K10" s="12">
        <f>IF(K8&gt;0,9,9999)</f>
        <v/>
      </c>
      <c r="L10" s="12">
        <f>IF(L8&gt;0,10,9999)</f>
        <v/>
      </c>
      <c r="M10" s="12">
        <f>IF(M8&gt;0,11,9999)</f>
        <v/>
      </c>
      <c r="N10" s="12">
        <f>IF(N8&gt;0,12,9999)</f>
        <v/>
      </c>
    </row>
    <row r="11">
      <c r="B11" s="4" t="inlineStr">
        <is>
          <t>Break-even month (first M with positive EBITDA):</t>
        </is>
      </c>
      <c r="G11" s="4">
        <f>IF(MIN(C10:N10)&gt;12,"beyond M12",MIN(C10:N10))</f>
        <v/>
      </c>
    </row>
    <row r="13">
      <c r="B13" s="4" t="inlineStr">
        <is>
          <t>Steady-state monthly EBITDA (₹)</t>
        </is>
      </c>
      <c r="G13" s="13">
        <f>'Unit Economics'!C13-Assumptions!C23</f>
        <v/>
      </c>
    </row>
    <row r="14">
      <c r="B14" s="4" t="inlineStr">
        <is>
          <t>Steady-state annual EBITDA (₹)</t>
        </is>
      </c>
      <c r="G14" s="13">
        <f>('Unit Economics'!C13-Assumptions!C23)*12</f>
        <v/>
      </c>
    </row>
    <row r="16">
      <c r="B16" s="2" t="inlineStr">
        <is>
          <t>Illustrative, contribution-based model; excludes taxes, capex and financing. Validate before use.</t>
        </is>
      </c>
    </row>
  </sheetData>
  <mergeCells count="1">
    <mergeCell ref="B2:E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B32268-6289-4003-8E6F-6621D9C4552D}"/>
</file>

<file path=customXml/itemProps2.xml><?xml version="1.0" encoding="utf-8"?>
<ds:datastoreItem xmlns:ds="http://schemas.openxmlformats.org/officeDocument/2006/customXml" ds:itemID="{F37F440B-D23C-4544-9A42-E608946A0F0C}"/>
</file>

<file path=customXml/itemProps3.xml><?xml version="1.0" encoding="utf-8"?>
<ds:datastoreItem xmlns:ds="http://schemas.openxmlformats.org/officeDocument/2006/customXml" ds:itemID="{D5DCDCB8-2326-4A71-9B08-714D73AFBC2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2026-07-20T21:25:20Z</dcterms:created>
  <dcterms:modified xsi:type="dcterms:W3CDTF">2026-07-20T21:25:20Z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