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TS Estim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<sst xmlns="http://schemas.openxmlformats.org/spreadsheetml/2006/main" count="25" uniqueCount="25">
  <si>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Equator Resolution — OTS (One-Time Settlement) Estimator</t>
  </si>
  <si>
    <t xml:space="preserve">A transparent negotiation aid for a compromise settlement. Not a binding figure.</t>
  </si>
  <si>
    <t xml:space="preserve">HOW TO USE</t>
  </si>
  <si>
    <t xml:space="preserve">- Edit the blue/yellow cells on 'OTS Estimator'. Results update automatically.</t>
  </si>
  <si>
    <t xml:space="preserve">- Enter the dues; set waiver and discount levers; the tool suggests a settlement (OTS) range.</t>
  </si>
  <si>
    <t xml:space="preserve">- Use in mediation to move from positions to a fair figure. Lenders settle under a board-approved policy (RBI 2023).</t>
  </si>
  <si>
    <t xml:space="preserve">OTS Settlement Estimator</t>
  </si>
  <si>
    <t xml:space="preserve">Blue/yellow = inputs; black = calculated.</t>
  </si>
  <si>
    <t xml:space="preserve">DUES</t>
  </si>
  <si>
    <t xml:space="preserve">Outstanding principal (₹)</t>
  </si>
  <si>
    <t xml:space="preserve">Accrued interest (₹)</t>
  </si>
  <si>
    <t xml:space="preserve">Penal charges &amp; other (₹)</t>
  </si>
  <si>
    <t xml:space="preserve">LEVERS (editable)</t>
  </si>
  <si>
    <t xml:space="preserve">Interest waiver (%)</t>
  </si>
  <si>
    <t xml:space="preserve">Penal-charge waiver (%)</t>
  </si>
  <si>
    <t xml:space="preserve">Additional settlement discount (%)</t>
  </si>
  <si>
    <t xml:space="preserve">INDICATIVE OUTPUT</t>
  </si>
  <si>
    <t xml:space="preserve">Total outstanding (₹)</t>
  </si>
  <si>
    <t xml:space="preserve">After waivers (principal + net interest + net penal)</t>
  </si>
  <si>
    <t xml:space="preserve">Suggested OTS (after discount) (₹)</t>
  </si>
  <si>
    <t xml:space="preserve">Suggested OTS — LOW (principal only)</t>
  </si>
  <si>
    <t xml:space="preserve">Suggested OTS — HIGH (after waivers)</t>
  </si>
  <si>
    <t xml:space="preserve">Borrower saving vs total (₹)</t>
  </si>
  <si>
    <t xml:space="preserve">Recovery to lender (% of total)</t>
  </si>
  <si>
    <t xml:space="preserve">Indicative only; not advice. The lender settles under its board-approved compromise-settlement policy (RBI, 2023).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</si>
</sst>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B4F"/>
      <name val="Arial"/>
      <family val="0"/>
      <charset val="1"/>
    </font>
    <font>
      <i val="true"/>
      <sz val="10"/>
      <color rgb="FF556168"/>
      <name val="Arial"/>
      <family val="0"/>
      <charset val="1"/>
    </font>
    <font>
      <sz val="10"/>
      <color rgb="FF1B2A32"/>
      <name val="Arial"/>
      <family val="0"/>
      <charset val="1"/>
    </font>
    <font>
      <b val="true"/>
      <sz val="10"/>
      <color rgb="FF123B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A8C"/>
        <bgColor rgb="FF008080"/>
      </patternFill>
    </fill>
    <fill>
      <patternFill patternType="solid">
        <fgColor rgb="FFFFF6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8C"/>
      <rgbColor rgb="FFC4D0D6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168"/>
      <rgbColor rgb="FF969696"/>
      <rgbColor rgb="FF123B4F"/>
      <rgbColor rgb="FF339966"/>
      <rgbColor rgb="FF003300"/>
      <rgbColor rgb="FF333300"/>
      <rgbColor rgb="FF993300"/>
      <rgbColor rgb="FF993366"/>
      <rgbColor rgb="FF333399"/>
      <rgbColor rgb="FF1B2A3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</cols>
  <sheetData>
    <row r="2" customFormat="false" ht="18.55" hidden="false" customHeight="false" outlineLevel="0" collapsed="false">
      <c r="B2" s="5" t="s">
        <v>6</v>
      </c>
      <c r="C2" s="5"/>
    </row>
    <row r="3" customFormat="false" ht="15" hidden="false" customHeight="false" outlineLevel="0" collapsed="false">
      <c r="B3" s="6" t="s">
        <v>7</v>
      </c>
      <c r="C3" s="6"/>
    </row>
    <row r="5" customFormat="false" ht="15" hidden="false" customHeight="false" outlineLevel="0" collapsed="false">
      <c r="B5" s="7" t="s">
        <v>8</v>
      </c>
    </row>
    <row r="6" customFormat="false" ht="15" hidden="false" customHeight="false" outlineLevel="0" collapsed="false">
      <c r="B6" s="3" t="s">
        <v>9</v>
      </c>
      <c r="C6" s="8" t="n">
        <v>500000</v>
      </c>
    </row>
    <row r="7" customFormat="false" ht="15" hidden="false" customHeight="false" outlineLevel="0" collapsed="false">
      <c r="B7" s="3" t="s">
        <v>10</v>
      </c>
      <c r="C7" s="8" t="n">
        <v>180000</v>
      </c>
    </row>
    <row r="8" customFormat="false" ht="15" hidden="false" customHeight="false" outlineLevel="0" collapsed="false">
      <c r="B8" s="3" t="s">
        <v>11</v>
      </c>
      <c r="C8" s="8" t="n">
        <v>70000</v>
      </c>
    </row>
    <row r="10" customFormat="false" ht="15" hidden="false" customHeight="false" outlineLevel="0" collapsed="false">
      <c r="B10" s="7" t="s">
        <v>12</v>
      </c>
    </row>
    <row r="11" customFormat="false" ht="15" hidden="false" customHeight="false" outlineLevel="0" collapsed="false">
      <c r="B11" s="3" t="s">
        <v>13</v>
      </c>
      <c r="C11" s="9" t="n">
        <v>0.4</v>
      </c>
    </row>
    <row r="12" customFormat="false" ht="15" hidden="false" customHeight="false" outlineLevel="0" collapsed="false">
      <c r="B12" s="3" t="s">
        <v>14</v>
      </c>
      <c r="C12" s="9" t="n">
        <v>0.8</v>
      </c>
    </row>
    <row r="13" customFormat="false" ht="15" hidden="false" customHeight="false" outlineLevel="0" collapsed="false">
      <c r="B13" s="3" t="s">
        <v>15</v>
      </c>
      <c r="C13" s="9" t="n">
        <v>0.1</v>
      </c>
    </row>
    <row r="15" customFormat="false" ht="15" hidden="false" customHeight="false" outlineLevel="0" collapsed="false">
      <c r="B15" s="7" t="s">
        <v>16</v>
      </c>
    </row>
    <row r="16" customFormat="false" ht="15" hidden="false" customHeight="false" outlineLevel="0" collapsed="false">
      <c r="B16" s="3" t="s">
        <v>17</v>
      </c>
      <c r="C16" s="10" t="n">
        <f aca="false">C6+C7+C8</f>
        <v>750000</v>
      </c>
    </row>
    <row r="17" customFormat="false" ht="15" hidden="false" customHeight="false" outlineLevel="0" collapsed="false">
      <c r="B17" s="3" t="s">
        <v>18</v>
      </c>
      <c r="C17" s="11" t="n">
        <f aca="false">C6+C7*(1-C11)+C8*(1-C12)</f>
        <v>622000</v>
      </c>
    </row>
    <row r="18" customFormat="false" ht="15" hidden="false" customHeight="false" outlineLevel="0" collapsed="false">
      <c r="B18" s="4" t="s">
        <v>19</v>
      </c>
      <c r="C18" s="10" t="n">
        <f aca="false">C17*(1-C13)</f>
        <v>559800</v>
      </c>
    </row>
    <row r="19" customFormat="false" ht="15" hidden="false" customHeight="false" outlineLevel="0" collapsed="false">
      <c r="B19" s="3" t="s">
        <v>20</v>
      </c>
      <c r="C19" s="11" t="n">
        <f aca="false">C6</f>
        <v>500000</v>
      </c>
    </row>
    <row r="20" customFormat="false" ht="15" hidden="false" customHeight="false" outlineLevel="0" collapsed="false">
      <c r="B20" s="3" t="s">
        <v>21</v>
      </c>
      <c r="C20" s="11" t="n">
        <f aca="false">C17</f>
        <v>622000</v>
      </c>
    </row>
    <row r="21" customFormat="false" ht="15" hidden="false" customHeight="false" outlineLevel="0" collapsed="false">
      <c r="B21" s="3" t="s">
        <v>22</v>
      </c>
      <c r="C21" s="11" t="n">
        <f aca="false">C16-C18</f>
        <v>190200</v>
      </c>
    </row>
    <row r="22" customFormat="false" ht="15" hidden="false" customHeight="false" outlineLevel="0" collapsed="false">
      <c r="B22" s="3" t="s">
        <v>23</v>
      </c>
      <c r="C22" s="12" t="n">
        <f aca="false">IFERROR(C18/C16,0)</f>
        <v>0.7464</v>
      </c>
    </row>
    <row r="24" customFormat="false" ht="15" hidden="false" customHeight="false" outlineLevel="0" collapsed="false">
      <c r="B24" s="2" t="s">
        <v>24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3AE3B5-7F63-4193-B8C5-378CD9C9FCB8}"/>
</file>

<file path=customXml/itemProps2.xml><?xml version="1.0" encoding="utf-8"?>
<ds:datastoreItem xmlns:ds="http://schemas.openxmlformats.org/officeDocument/2006/customXml" ds:itemID="{425763BA-9D7F-4A7F-A0F5-4A1CF2FA4FCC}"/>
</file>

<file path=customXml/itemProps3.xml><?xml version="1.0" encoding="utf-8"?>
<ds:datastoreItem xmlns:ds="http://schemas.openxmlformats.org/officeDocument/2006/customXml" ds:itemID="{0729FCC7-DCD1-48B5-BD87-F672C48AE44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2026-07-20T16:05:03Z</dcterms:created>
  <dcterms:modified xsi:type="dcterms:W3CDTF">2026-07-20T16:05:03Z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