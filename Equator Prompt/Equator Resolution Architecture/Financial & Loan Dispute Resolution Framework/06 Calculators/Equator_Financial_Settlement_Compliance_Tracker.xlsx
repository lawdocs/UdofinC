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Financial Settlement Compliance Tracker</t>
        </is>
      </c>
    </row>
    <row r="3">
      <c r="B3" s="2" t="inlineStr">
        <is>
          <t>Track OTS/settlement performance: instalments, escrow releases, No-Dues/NOC and credit-bureau updates.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One row per settlement on 'Tracker'. Use the dropdowns; the Status column flags what's outstanding.</t>
        </is>
      </c>
    </row>
    <row r="8">
      <c r="B8" s="3" t="inlineStr">
        <is>
          <t>- 'Paid to date' vs 'Settled amount' shows completion; escrow, NOC and bureau columns confirm a clean closure.</t>
        </is>
      </c>
    </row>
    <row r="9">
      <c r="B9" s="3" t="inlineStr">
        <is>
          <t>- Review weekly; a settlement is only truly closed when NOC issued AND bureau updated.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26" customWidth="1" min="11" max="11"/>
  </cols>
  <sheetData>
    <row r="3">
      <c r="A3" s="5" t="inlineStr">
        <is>
          <t>Case #</t>
        </is>
      </c>
      <c r="B3" s="5" t="inlineStr">
        <is>
          <t>Borrower</t>
        </is>
      </c>
      <c r="C3" s="5" t="inlineStr">
        <is>
          <t>Lender</t>
        </is>
      </c>
      <c r="D3" s="5" t="inlineStr">
        <is>
          <t>Dispute type</t>
        </is>
      </c>
      <c r="E3" s="5" t="inlineStr">
        <is>
          <t>Settled amount (₹)</t>
        </is>
      </c>
      <c r="F3" s="5" t="inlineStr">
        <is>
          <t>Paid to date (₹)</t>
        </is>
      </c>
      <c r="G3" s="5" t="inlineStr">
        <is>
          <t>Next due date</t>
        </is>
      </c>
      <c r="H3" s="5" t="inlineStr">
        <is>
          <t>Escrow status</t>
        </is>
      </c>
      <c r="I3" s="5" t="inlineStr">
        <is>
          <t>No-Dues/NOC</t>
        </is>
      </c>
      <c r="J3" s="5" t="inlineStr">
        <is>
          <t>Bureau updated</t>
        </is>
      </c>
      <c r="K3" s="5" t="inlineStr">
        <is>
          <t>Status (auto)</t>
        </is>
      </c>
    </row>
    <row r="4">
      <c r="A4" s="6" t="inlineStr">
        <is>
          <t>FL-2041</t>
        </is>
      </c>
      <c r="B4" s="6" t="inlineStr">
        <is>
          <t>(borrower)</t>
        </is>
      </c>
      <c r="C4" s="6" t="inlineStr">
        <is>
          <t>Acme Bank</t>
        </is>
      </c>
      <c r="D4" s="6" t="inlineStr">
        <is>
          <t>OTS / default</t>
        </is>
      </c>
      <c r="E4" s="7" t="n">
        <v>622000</v>
      </c>
      <c r="F4" s="7" t="n">
        <v>400000</v>
      </c>
      <c r="G4" s="6" t="inlineStr">
        <is>
          <t>2026-08-15</t>
        </is>
      </c>
      <c r="H4" s="6" t="inlineStr">
        <is>
          <t>Funded</t>
        </is>
      </c>
      <c r="I4" s="6" t="inlineStr">
        <is>
          <t>Pending</t>
        </is>
      </c>
      <c r="J4" s="6" t="inlineStr">
        <is>
          <t>Pending</t>
        </is>
      </c>
      <c r="K4" s="8">
        <f>IF(AND(F4&gt;=E4,H4&lt;&gt;"Pending",I4="Issued",J4="Done"),"CLOSED — clean exit",IF(F4&gt;=E4,"Paid — awaiting NOC/bureau","In progress: "&amp;TEXT(E4-F4,"#,##0")&amp;" due"))</f>
        <v/>
      </c>
    </row>
    <row r="5">
      <c r="A5" s="9" t="inlineStr">
        <is>
          <t>FL-2042</t>
        </is>
      </c>
      <c r="B5" s="9" t="inlineStr">
        <is>
          <t>(borrower)</t>
        </is>
      </c>
      <c r="C5" s="9" t="inlineStr">
        <is>
          <t>Nova NBFC</t>
        </is>
      </c>
      <c r="D5" s="9" t="inlineStr">
        <is>
          <t>Cheque (138)</t>
        </is>
      </c>
      <c r="E5" s="10" t="n">
        <v>330000</v>
      </c>
      <c r="F5" s="10" t="n">
        <v>330000</v>
      </c>
      <c r="G5" s="9" t="inlineStr">
        <is>
          <t>—</t>
        </is>
      </c>
      <c r="H5" s="9" t="inlineStr">
        <is>
          <t>Released</t>
        </is>
      </c>
      <c r="I5" s="9" t="inlineStr">
        <is>
          <t>Issued</t>
        </is>
      </c>
      <c r="J5" s="9" t="inlineStr">
        <is>
          <t>Done</t>
        </is>
      </c>
      <c r="K5" s="11">
        <f>IF(AND(F5&gt;=E5,H5&lt;&gt;"Pending",I5="Issued",J5="Done"),"CLOSED — clean exit",IF(F5&gt;=E5,"Paid — awaiting NOC/bureau","In progress: "&amp;TEXT(E5-F5,"#,##0")&amp;" due"))</f>
        <v/>
      </c>
    </row>
    <row r="6">
      <c r="A6" s="6" t="inlineStr">
        <is>
          <t>FL-2043</t>
        </is>
      </c>
      <c r="B6" s="6" t="inlineStr">
        <is>
          <t>(borrower)</t>
        </is>
      </c>
      <c r="C6" s="6" t="inlineStr">
        <is>
          <t>FinApp Ltd</t>
        </is>
      </c>
      <c r="D6" s="6" t="inlineStr">
        <is>
          <t>Digital lending</t>
        </is>
      </c>
      <c r="E6" s="7" t="n">
        <v>40000</v>
      </c>
      <c r="F6" s="7" t="n">
        <v>40000</v>
      </c>
      <c r="G6" s="6" t="inlineStr">
        <is>
          <t>—</t>
        </is>
      </c>
      <c r="H6" s="6" t="inlineStr">
        <is>
          <t>N-A</t>
        </is>
      </c>
      <c r="I6" s="6" t="inlineStr">
        <is>
          <t>Issued</t>
        </is>
      </c>
      <c r="J6" s="6" t="inlineStr">
        <is>
          <t>Done</t>
        </is>
      </c>
      <c r="K6" s="8">
        <f>IF(AND(F6&gt;=E6,H6&lt;&gt;"Pending",I6="Issued",J6="Done"),"CLOSED — clean exit",IF(F6&gt;=E6,"Paid — awaiting NOC/bureau","In progress: "&amp;TEXT(E6-F6,"#,##0")&amp;" due"))</f>
        <v/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1">
        <f>IF(E7="","",IF(AND(F7&gt;=E7,H7&lt;&gt;"Pending",I7="Issued",J7="Done"),"CLOSED — clean exit",IF(F7&gt;=E7,"Paid — awaiting NOC/bureau","In progress: "&amp;TEXT(E7-F7,"#,##0")&amp;" due")))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8">
        <f>IF(E8="","",IF(AND(F8&gt;=E8,H8&lt;&gt;"Pending",I8="Issued",J8="Done"),"CLOSED — clean exit",IF(F8&gt;=E8,"Paid — awaiting NOC/bureau","In progress: "&amp;TEXT(E8-F8,"#,##0")&amp;" due")))</f>
        <v/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1">
        <f>IF(E9="","",IF(AND(F9&gt;=E9,H9&lt;&gt;"Pending",I9="Issued",J9="Done"),"CLOSED — clean exit",IF(F9&gt;=E9,"Paid — awaiting NOC/bureau","In progress: "&amp;TEXT(E9-F9,"#,##0")&amp;" due")))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8">
        <f>IF(E10="","",IF(AND(F10&gt;=E10,H10&lt;&gt;"Pending",I10="Issued",J10="Done"),"CLOSED — clean exit",IF(F10&gt;=E10,"Paid — awaiting NOC/bureau","In progress: "&amp;TEXT(E10-F10,"#,##0")&amp;" due")))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1">
        <f>IF(E11="","",IF(AND(F11&gt;=E11,H11&lt;&gt;"Pending",I11="Issued",J11="Done"),"CLOSED — clean exit",IF(F11&gt;=E11,"Paid — awaiting NOC/bureau","In progress: "&amp;TEXT(E11-F11,"#,##0")&amp;" due")))</f>
        <v/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8">
        <f>IF(E12="","",IF(AND(F12&gt;=E12,H12&lt;&gt;"Pending",I12="Issued",J12="Done"),"CLOSED — clean exit",IF(F12&gt;=E12,"Paid — awaiting NOC/bureau","In progress: "&amp;TEXT(E12-F12,"#,##0")&amp;" due")))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1">
        <f>IF(E13="","",IF(AND(F13&gt;=E13,H13&lt;&gt;"Pending",I13="Issued",J13="Done"),"CLOSED — clean exit",IF(F13&gt;=E13,"Paid — awaiting NOC/bureau","In progress: "&amp;TEXT(E13-F13,"#,##0")&amp;" due")))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8">
        <f>IF(E14="","",IF(AND(F14&gt;=E14,H14&lt;&gt;"Pending",I14="Issued",J14="Done"),"CLOSED — clean exit",IF(F14&gt;=E14,"Paid — awaiting NOC/bureau","In progress: "&amp;TEXT(E14-F14,"#,##0")&amp;" due")))</f>
        <v/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1">
        <f>IF(E15="","",IF(AND(F15&gt;=E15,H15&lt;&gt;"Pending",I15="Issued",J15="Done"),"CLOSED — clean exit",IF(F15&gt;=E15,"Paid — awaiting NOC/bureau","In progress: "&amp;TEXT(E15-F15,"#,##0")&amp;" due")))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8">
        <f>IF(E16="","",IF(AND(F16&gt;=E16,H16&lt;&gt;"Pending",I16="Issued",J16="Done"),"CLOSED — clean exit",IF(F16&gt;=E16,"Paid — awaiting NOC/bureau","In progress: "&amp;TEXT(E16-F16,"#,##0")&amp;" due")))</f>
        <v/>
      </c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1">
        <f>IF(E17="","",IF(AND(F17&gt;=E17,H17&lt;&gt;"Pending",I17="Issued",J17="Done"),"CLOSED — clean exit",IF(F17&gt;=E17,"Paid — awaiting NOC/bureau","In progress: "&amp;TEXT(E17-F17,"#,##0")&amp;" due")))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8">
        <f>IF(E18="","",IF(AND(F18&gt;=E18,H18&lt;&gt;"Pending",I18="Issued",J18="Done"),"CLOSED — clean exit",IF(F18&gt;=E18,"Paid — awaiting NOC/bureau","In progress: "&amp;TEXT(E18-F18,"#,##0")&amp;" due")))</f>
        <v/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1">
        <f>IF(E19="","",IF(AND(F19&gt;=E19,H19&lt;&gt;"Pending",I19="Issued",J19="Done"),"CLOSED — clean exit",IF(F19&gt;=E19,"Paid — awaiting NOC/bureau","In progress: "&amp;TEXT(E19-F19,"#,##0")&amp;" due")))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8">
        <f>IF(E20="","",IF(AND(F20&gt;=E20,H20&lt;&gt;"Pending",I20="Issued",J20="Done"),"CLOSED — clean exit",IF(F20&gt;=E20,"Paid — awaiting NOC/bureau","In progress: "&amp;TEXT(E20-F20,"#,##0")&amp;" due")))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1">
        <f>IF(E21="","",IF(AND(F21&gt;=E21,H21&lt;&gt;"Pending",I21="Issued",J21="Done"),"CLOSED — clean exit",IF(F21&gt;=E21,"Paid — awaiting NOC/bureau","In progress: "&amp;TEXT(E21-F21,"#,##0")&amp;" due")))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8">
        <f>IF(E22="","",IF(AND(F22&gt;=E22,H22&lt;&gt;"Pending",I22="Issued",J22="Done"),"CLOSED — clean exit",IF(F22&gt;=E22,"Paid — awaiting NOC/bureau","In progress: "&amp;TEXT(E22-F22,"#,##0")&amp;" due")))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1">
        <f>IF(E23="","",IF(AND(F23&gt;=E23,H23&lt;&gt;"Pending",I23="Issued",J23="Done"),"CLOSED — clean exit",IF(F23&gt;=E23,"Paid — awaiting NOC/bureau","In progress: "&amp;TEXT(E23-F23,"#,##0")&amp;" due")))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8">
        <f>IF(E24="","",IF(AND(F24&gt;=E24,H24&lt;&gt;"Pending",I24="Issued",J24="Done"),"CLOSED — clean exit",IF(F24&gt;=E24,"Paid — awaiting NOC/bureau","In progress: "&amp;TEXT(E24-F24,"#,##0")&amp;" due")))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1">
        <f>IF(E25="","",IF(AND(F25&gt;=E25,H25&lt;&gt;"Pending",I25="Issued",J25="Done"),"CLOSED — clean exit",IF(F25&gt;=E25,"Paid — awaiting NOC/bureau","In progress: "&amp;TEXT(E25-F25,"#,##0")&amp;" due")))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8">
        <f>IF(E26="","",IF(AND(F26&gt;=E26,H26&lt;&gt;"Pending",I26="Issued",J26="Done"),"CLOSED — clean exit",IF(F26&gt;=E26,"Paid — awaiting NOC/bureau","In progress: "&amp;TEXT(E26-F26,"#,##0")&amp;" due")))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1">
        <f>IF(E27="","",IF(AND(F27&gt;=E27,H27&lt;&gt;"Pending",I27="Issued",J27="Done"),"CLOSED — clean exit",IF(F27&gt;=E27,"Paid — awaiting NOC/bureau","In progress: "&amp;TEXT(E27-F27,"#,##0")&amp;" due")))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8">
        <f>IF(E28="","",IF(AND(F28&gt;=E28,H28&lt;&gt;"Pending",I28="Issued",J28="Done"),"CLOSED — clean exit",IF(F28&gt;=E28,"Paid — awaiting NOC/bureau","In progress: "&amp;TEXT(E28-F28,"#,##0")&amp;" due")))</f>
        <v/>
      </c>
    </row>
    <row r="29">
      <c r="B29" s="2" t="inlineStr">
        <is>
          <t>A settlement is CLOSED only when fully paid, escrow released, No-Dues/NOC issued and the credit bureau updated.</t>
        </is>
      </c>
    </row>
  </sheetData>
  <dataValidations count="4">
    <dataValidation sqref="H4:H26" showDropDown="0" showInputMessage="0" showErrorMessage="0" allowBlank="1" type="list">
      <formula1>"Funded,Partly released,Released,N-A,Pending"</formula1>
    </dataValidation>
    <dataValidation sqref="I4:I26" showDropDown="0" showInputMessage="0" showErrorMessage="0" allowBlank="1" type="list">
      <formula1>"Pending,Issued"</formula1>
    </dataValidation>
    <dataValidation sqref="J4:J26" showDropDown="0" showInputMessage="0" showErrorMessage="0" allowBlank="1" type="list">
      <formula1>"Pending,Filed,Done,N-A"</formula1>
    </dataValidation>
    <dataValidation sqref="D4:D26" showDropDown="0" showInputMessage="0" showErrorMessage="0" allowBlank="1" type="list">
      <formula1>"OTS / default,Cheque (138),Wrong charges,Digital lending,Harassment,Credit bureau,Guarantee,Secured debt"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5D257-4D1B-4211-90B5-4492A10BE4DD}"/>
</file>

<file path=customXml/itemProps2.xml><?xml version="1.0" encoding="utf-8"?>
<ds:datastoreItem xmlns:ds="http://schemas.openxmlformats.org/officeDocument/2006/customXml" ds:itemID="{E32F4496-794B-4CCC-8410-85935347C5A0}"/>
</file>

<file path=customXml/itemProps3.xml><?xml version="1.0" encoding="utf-8"?>
<ds:datastoreItem xmlns:ds="http://schemas.openxmlformats.org/officeDocument/2006/customXml" ds:itemID="{134968F2-C722-4B5A-935C-BE08EFEF8C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2026-07-20T21:36:55Z</dcterms:created>
  <dcterms:modified xsi:type="dcterms:W3CDTF">2026-07-20T21:36:55Z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