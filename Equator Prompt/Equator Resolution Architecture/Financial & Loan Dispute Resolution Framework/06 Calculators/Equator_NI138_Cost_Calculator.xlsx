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NI-138 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  <font>
      <name val="Arial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1E7A8C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3" fontId="6" fillId="3" borderId="1" pivotButton="0" quotePrefix="0" xfId="0"/>
    <xf numFmtId="164" fontId="6" fillId="3" borderId="1" pivotButton="0" quotePrefix="0" xfId="0"/>
    <xf numFmtId="1" fontId="6" fillId="3" borderId="1" pivotButton="0" quotePrefix="0" xfId="0"/>
    <xf numFmtId="3" fontId="3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NI-138 (Cheque Bounce) Cost &amp; Exposure Calculator</t>
        </is>
      </c>
    </row>
    <row r="3">
      <c r="B3" s="2" t="inlineStr">
        <is>
          <t>Estimates the drawer's exposure and the cost of fighting vs. settling a cheque-bounce case.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Edit blue/yellow inputs on 'NI-138 Calculator'.</t>
        </is>
      </c>
    </row>
    <row r="8">
      <c r="B8" s="3" t="inlineStr">
        <is>
          <t>- s.143A: interim compensation up to 20% of the cheque amount at trial.</t>
        </is>
      </c>
    </row>
    <row r="9">
      <c r="B9" s="3" t="inlineStr">
        <is>
          <t>- s.148: on appeal, a deposit of a minimum 20% of the fine/compensation.</t>
        </is>
      </c>
    </row>
    <row r="10">
      <c r="B10" s="3" t="inlineStr">
        <is>
          <t>- Damodar Prabhu graded costs rise the later a case is compounded — early settlement is cheaper.</t>
        </is>
      </c>
    </row>
    <row r="11">
      <c r="B11" s="3" t="inlineStr">
        <is>
          <t>- Indicative only; confirm current law and the court's discretion. Not legal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</cols>
  <sheetData>
    <row r="2">
      <c r="B2" s="1" t="inlineStr">
        <is>
          <t>NI-138 Cost &amp; Exposure Calculator</t>
        </is>
      </c>
    </row>
    <row r="3">
      <c r="B3" s="2" t="inlineStr">
        <is>
          <t>Blue/yellow = inputs; black = calculated.</t>
        </is>
      </c>
    </row>
    <row r="5">
      <c r="B5" s="5" t="inlineStr">
        <is>
          <t>INPUTS</t>
        </is>
      </c>
    </row>
    <row r="6">
      <c r="B6" s="3" t="inlineStr">
        <is>
          <t>Cheque amount (₹)</t>
        </is>
      </c>
      <c r="C6" s="6" t="n">
        <v>300000</v>
      </c>
    </row>
    <row r="7">
      <c r="B7" s="3" t="inlineStr">
        <is>
          <t>Interim compensation rate — s.143A (max 20%)</t>
        </is>
      </c>
      <c r="C7" s="7" t="n">
        <v>0.2</v>
      </c>
    </row>
    <row r="8">
      <c r="B8" s="3" t="inlineStr">
        <is>
          <t>Assumed fine / compensation on conviction (₹)</t>
        </is>
      </c>
      <c r="C8" s="6" t="n">
        <v>600000</v>
      </c>
    </row>
    <row r="9">
      <c r="B9" s="3" t="inlineStr">
        <is>
          <t>Appeal deposit rate — s.148 (min 20%)</t>
        </is>
      </c>
      <c r="C9" s="7" t="n">
        <v>0.2</v>
      </c>
    </row>
    <row r="10">
      <c r="B10" s="3" t="inlineStr">
        <is>
          <t>Damodar Prabhu cost stage (1=early…4=late)</t>
        </is>
      </c>
      <c r="C10" s="8" t="n">
        <v>3</v>
      </c>
    </row>
    <row r="11">
      <c r="B11" s="3" t="inlineStr">
        <is>
          <t>Estimated legal cost to fight (both stages) (₹)</t>
        </is>
      </c>
      <c r="C11" s="6" t="n">
        <v>150000</v>
      </c>
    </row>
    <row r="13">
      <c r="B13" s="5" t="inlineStr">
        <is>
          <t>CALCULATED — EXPOSURE IF FOUGHT</t>
        </is>
      </c>
    </row>
    <row r="14">
      <c r="B14" s="3" t="inlineStr">
        <is>
          <t>Interim compensation payable at trial (s.143A)</t>
        </is>
      </c>
      <c r="C14" s="9">
        <f>C6*C7</f>
        <v/>
      </c>
    </row>
    <row r="15">
      <c r="B15" s="3" t="inlineStr">
        <is>
          <t>Appeal deposit if convicted &amp; appealing (s.148)</t>
        </is>
      </c>
      <c r="C15" s="9">
        <f>C8*C9</f>
        <v/>
      </c>
    </row>
    <row r="16">
      <c r="B16" s="3" t="inlineStr">
        <is>
          <t>Damodar Prabhu graded cost (approx % of cheque)</t>
        </is>
      </c>
      <c r="C16" s="9">
        <f>C6*CHOOSE(C10,0,0.025,0.05,0.10)</f>
        <v/>
      </c>
    </row>
    <row r="17">
      <c r="B17" s="4" t="inlineStr">
        <is>
          <t>Indicative total exposure if fought (₹)</t>
        </is>
      </c>
      <c r="C17" s="10">
        <f>C14+C15+C16+C11</f>
        <v/>
      </c>
    </row>
    <row r="19">
      <c r="B19" s="5" t="inlineStr">
        <is>
          <t>SETTLE INSTEAD (illustrative)</t>
        </is>
      </c>
    </row>
    <row r="20">
      <c r="B20" s="3" t="inlineStr">
        <is>
          <t>Negotiated settlement (cheque + reasonable interest) (₹)</t>
        </is>
      </c>
      <c r="C20" s="6" t="n">
        <v>330000</v>
      </c>
    </row>
    <row r="21">
      <c r="B21" s="4" t="inlineStr">
        <is>
          <t>Saving vs. fighting (₹)</t>
        </is>
      </c>
      <c r="C21" s="10">
        <f>C17-C20</f>
        <v/>
      </c>
    </row>
    <row r="23">
      <c r="B23" s="2" t="inlineStr">
        <is>
          <t>Compounding under s.147 on payment closes the case; early settlement avoids rising Damodar Prabhu costs.</t>
        </is>
      </c>
    </row>
  </sheetData>
  <mergeCells count="2">
    <mergeCell ref="B3:C3"/>
    <mergeCell ref="B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23D20D-8D0E-4C57-8EAA-17EBE4DA840E}"/>
</file>

<file path=customXml/itemProps2.xml><?xml version="1.0" encoding="utf-8"?>
<ds:datastoreItem xmlns:ds="http://schemas.openxmlformats.org/officeDocument/2006/customXml" ds:itemID="{3882F249-747F-4CAC-95E4-8AB513015A9D}"/>
</file>

<file path=customXml/itemProps3.xml><?xml version="1.0" encoding="utf-8"?>
<ds:datastoreItem xmlns:ds="http://schemas.openxmlformats.org/officeDocument/2006/customXml" ds:itemID="{68E37D8B-5B30-482B-B7D3-D8DCABB3FE3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2026-07-20T21:36:55Z</dcterms:created>
  <dcterms:modified xsi:type="dcterms:W3CDTF">2026-07-20T21:36:55Z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