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I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164" fontId="6" fillId="3" borderId="1" pivotButton="0" quotePrefix="0" xfId="0"/>
    <xf numFmtId="1" fontId="6" fillId="3" borderId="1" pivotButton="0" quotePrefix="0" xfId="0"/>
    <xf numFmtId="3" fontId="4" fillId="0" borderId="1" pivotButton="0" quotePrefix="0" xfId="0"/>
    <xf numFmtId="3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EMI &amp; Restructuring Calculator</t>
        </is>
      </c>
    </row>
    <row r="3">
      <c r="B3" s="2" t="inlineStr">
        <is>
          <t>Compares the current EMI with a restructured EMI to find an affordable settlement.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blue/yellow inputs on 'EMI Calculator'.</t>
        </is>
      </c>
    </row>
    <row r="8">
      <c r="B8" s="3" t="inlineStr">
        <is>
          <t>- EMI is computed as P*r*(1+r)^n / ((1+r)^n - 1), r = monthly rate, n = months.</t>
        </is>
      </c>
    </row>
    <row r="9">
      <c r="B9" s="3" t="inlineStr">
        <is>
          <t>- Restructuring (lower rate / longer tenor / part-waiver) lowers the EMI to an affordable level.</t>
        </is>
      </c>
    </row>
    <row r="10">
      <c r="B10" s="3" t="inlineStr">
        <is>
          <t>- Indicative only; confirm exact terms with the lender.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>
      <c r="B2" s="1" t="inlineStr">
        <is>
          <t>EMI &amp; Restructuring Calculator</t>
        </is>
      </c>
    </row>
    <row r="3">
      <c r="B3" s="2" t="inlineStr">
        <is>
          <t>Blue/yellow = inputs; black = calculated.</t>
        </is>
      </c>
    </row>
    <row r="5">
      <c r="B5" s="5" t="inlineStr">
        <is>
          <t>CURRENT LOAN</t>
        </is>
      </c>
    </row>
    <row r="6">
      <c r="B6" s="3" t="inlineStr">
        <is>
          <t>Outstanding principal (₹)</t>
        </is>
      </c>
      <c r="C6" s="6" t="n">
        <v>800000</v>
      </c>
    </row>
    <row r="7">
      <c r="B7" s="3" t="inlineStr">
        <is>
          <t>Current interest rate (% p.a.)</t>
        </is>
      </c>
      <c r="C7" s="7" t="n">
        <v>0.14</v>
      </c>
    </row>
    <row r="8">
      <c r="B8" s="3" t="inlineStr">
        <is>
          <t>Remaining tenor (months)</t>
        </is>
      </c>
      <c r="C8" s="8" t="n">
        <v>48</v>
      </c>
    </row>
    <row r="10">
      <c r="B10" s="4" t="inlineStr">
        <is>
          <t>Current EMI (₹)</t>
        </is>
      </c>
      <c r="C10" s="9">
        <f>IFERROR(C6*(C7/12)*POWER(1+C7/12,C8)/(POWER(1+C7/12,C8)-1),0)</f>
        <v/>
      </c>
    </row>
    <row r="11">
      <c r="B11" s="3" t="inlineStr">
        <is>
          <t>Total repayment at current terms (₹)</t>
        </is>
      </c>
      <c r="C11" s="10">
        <f>C10*C8</f>
        <v/>
      </c>
    </row>
    <row r="12">
      <c r="B12" s="3" t="inlineStr">
        <is>
          <t>Total interest at current terms (₹)</t>
        </is>
      </c>
      <c r="C12" s="10">
        <f>C11-C6</f>
        <v/>
      </c>
    </row>
    <row r="14">
      <c r="B14" s="5" t="inlineStr">
        <is>
          <t>RESTRUCTURED OFFER</t>
        </is>
      </c>
    </row>
    <row r="15">
      <c r="B15" s="3" t="inlineStr">
        <is>
          <t>Principal after part-waiver (₹)</t>
        </is>
      </c>
      <c r="C15" s="6" t="n">
        <v>720000</v>
      </c>
    </row>
    <row r="16">
      <c r="B16" s="3" t="inlineStr">
        <is>
          <t>Restructured rate (% p.a.)</t>
        </is>
      </c>
      <c r="C16" s="7" t="n">
        <v>0.11</v>
      </c>
    </row>
    <row r="17">
      <c r="B17" s="3" t="inlineStr">
        <is>
          <t>Restructured tenor (months)</t>
        </is>
      </c>
      <c r="C17" s="8" t="n">
        <v>72</v>
      </c>
    </row>
    <row r="19">
      <c r="B19" s="4" t="inlineStr">
        <is>
          <t>Restructured EMI (₹)</t>
        </is>
      </c>
      <c r="C19" s="9">
        <f>IFERROR(C15*(C16/12)*POWER(1+C16/12,C17)/(POWER(1+C16/12,C17)-1),0)</f>
        <v/>
      </c>
    </row>
    <row r="20">
      <c r="B20" s="3" t="inlineStr">
        <is>
          <t>Total repayment restructured (₹)</t>
        </is>
      </c>
      <c r="C20" s="10">
        <f>C19*C17</f>
        <v/>
      </c>
    </row>
    <row r="21">
      <c r="B21" s="4" t="inlineStr">
        <is>
          <t>EMI reduction vs current (₹)</t>
        </is>
      </c>
      <c r="C21" s="9">
        <f>C10-C19</f>
        <v/>
      </c>
    </row>
    <row r="22">
      <c r="B22" s="3" t="inlineStr">
        <is>
          <t>EMI reduction (%)</t>
        </is>
      </c>
      <c r="C22" s="11">
        <f>IFERROR((C10-C19)/C10,0)</f>
        <v/>
      </c>
    </row>
    <row r="24">
      <c r="B24" s="2" t="inlineStr">
        <is>
          <t>A lower, affordable EMI often secures a durable settlement better than an unaffordable lump sum.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CC8100-9F96-4AEC-8131-E34D41448AAC}"/>
</file>

<file path=customXml/itemProps2.xml><?xml version="1.0" encoding="utf-8"?>
<ds:datastoreItem xmlns:ds="http://schemas.openxmlformats.org/officeDocument/2006/customXml" ds:itemID="{A092C833-5735-423D-AB0B-E51D5B776982}"/>
</file>

<file path=customXml/itemProps3.xml><?xml version="1.0" encoding="utf-8"?>
<ds:datastoreItem xmlns:ds="http://schemas.openxmlformats.org/officeDocument/2006/customXml" ds:itemID="{B12472C2-0849-443E-8F63-25B24D7FEC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2026-07-20T21:36:55Z</dcterms:created>
  <dcterms:modified xsi:type="dcterms:W3CDTF">2026-07-20T21:36:55Z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