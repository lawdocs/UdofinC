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terest 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<sst xmlns="http://schemas.openxmlformats.org/spreadsheetml/2006/main" count="19" uniqueCount="19">
  <si>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Equator Resolution — Loan Interest &amp; Penal-Charges Calculator</t>
  </si>
  <si>
    <t xml:space="preserve">Computes accrued interest and penal charges on a loan for settlement discussions.</t>
  </si>
  <si>
    <t xml:space="preserve">HOW TO USE</t>
  </si>
  <si>
    <t xml:space="preserve">- Edit the blue/yellow cells on 'Interest Calculator'. Results update automatically.</t>
  </si>
  <si>
    <t xml:space="preserve">- Interest is compounded monthly; penal charges are computed simple on the overdue period.</t>
  </si>
  <si>
    <t xml:space="preserve">- Confirm the exact contractual rates and rest before relying on the figure.</t>
  </si>
  <si>
    <t xml:space="preserve">Loan Interest &amp; Penal-Charges Calculator</t>
  </si>
  <si>
    <t xml:space="preserve">Blue/yellow = inputs; black = calculated.</t>
  </si>
  <si>
    <t xml:space="preserve">INPUTS</t>
  </si>
  <si>
    <t xml:space="preserve">Principal outstanding (₹)</t>
  </si>
  <si>
    <t xml:space="preserve">Contractual interest rate (% p.a.)</t>
  </si>
  <si>
    <t xml:space="preserve">Penal / additional rate (% p.a.)</t>
  </si>
  <si>
    <t xml:space="preserve">Days overdue</t>
  </si>
  <si>
    <t xml:space="preserve">CALCULATED</t>
  </si>
  <si>
    <t xml:space="preserve">Months overdue (approx, 30-day)</t>
  </si>
  <si>
    <t xml:space="preserve">Interest (compounded monthly) (₹)</t>
  </si>
  <si>
    <t xml:space="preserve">Penal charges (simple, on overdue period) (₹)</t>
  </si>
  <si>
    <t xml:space="preserve">Total dues (principal + interest + penal) (₹)</t>
  </si>
  <si>
    <t xml:space="preserve">Indicative. Confirm the exact contractual rates, compounding rest and any regulatory caps; then use the OTS Estimator.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</si>
</sst>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3B4F"/>
      <name val="Arial"/>
      <family val="0"/>
      <charset val="1"/>
    </font>
    <font>
      <i val="true"/>
      <sz val="10"/>
      <color rgb="FF556168"/>
      <name val="Arial"/>
      <family val="0"/>
      <charset val="1"/>
    </font>
    <font>
      <sz val="10"/>
      <color rgb="FF1B2A32"/>
      <name val="Arial"/>
      <family val="0"/>
      <charset val="1"/>
    </font>
    <font>
      <b val="true"/>
      <sz val="10"/>
      <color rgb="FF123B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A8C"/>
        <bgColor rgb="FF008080"/>
      </patternFill>
    </fill>
    <fill>
      <patternFill patternType="solid">
        <fgColor rgb="FFFFF6D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8C"/>
      <rgbColor rgb="FFC4D0D6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168"/>
      <rgbColor rgb="FF969696"/>
      <rgbColor rgb="FF123B4F"/>
      <rgbColor rgb="FF339966"/>
      <rgbColor rgb="FF003300"/>
      <rgbColor rgb="FF333300"/>
      <rgbColor rgb="FF993300"/>
      <rgbColor rgb="FF993366"/>
      <rgbColor rgb="FF333399"/>
      <rgbColor rgb="FF1B2A3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</cols>
  <sheetData>
    <row r="2" customFormat="false" ht="18.55" hidden="false" customHeight="false" outlineLevel="0" collapsed="false">
      <c r="B2" s="5" t="s">
        <v>6</v>
      </c>
      <c r="C2" s="5"/>
    </row>
    <row r="3" customFormat="false" ht="15" hidden="false" customHeight="false" outlineLevel="0" collapsed="false">
      <c r="B3" s="6" t="s">
        <v>7</v>
      </c>
      <c r="C3" s="6"/>
    </row>
    <row r="5" customFormat="false" ht="15" hidden="false" customHeight="false" outlineLevel="0" collapsed="false">
      <c r="B5" s="7" t="s">
        <v>8</v>
      </c>
    </row>
    <row r="6" customFormat="false" ht="15" hidden="false" customHeight="false" outlineLevel="0" collapsed="false">
      <c r="B6" s="3" t="s">
        <v>9</v>
      </c>
      <c r="C6" s="8" t="n">
        <v>500000</v>
      </c>
    </row>
    <row r="7" customFormat="false" ht="15" hidden="false" customHeight="false" outlineLevel="0" collapsed="false">
      <c r="B7" s="3" t="s">
        <v>10</v>
      </c>
      <c r="C7" s="9" t="n">
        <v>0.14</v>
      </c>
    </row>
    <row r="8" customFormat="false" ht="15" hidden="false" customHeight="false" outlineLevel="0" collapsed="false">
      <c r="B8" s="3" t="s">
        <v>11</v>
      </c>
      <c r="C8" s="9" t="n">
        <v>0.24</v>
      </c>
    </row>
    <row r="9" customFormat="false" ht="15" hidden="false" customHeight="false" outlineLevel="0" collapsed="false">
      <c r="B9" s="3" t="s">
        <v>12</v>
      </c>
      <c r="C9" s="10" t="n">
        <v>180</v>
      </c>
    </row>
    <row r="11" customFormat="false" ht="15" hidden="false" customHeight="false" outlineLevel="0" collapsed="false">
      <c r="B11" s="7" t="s">
        <v>13</v>
      </c>
    </row>
    <row r="12" customFormat="false" ht="15" hidden="false" customHeight="false" outlineLevel="0" collapsed="false">
      <c r="B12" s="3" t="s">
        <v>14</v>
      </c>
      <c r="C12" s="11" t="n">
        <f aca="false">C9/30</f>
        <v>6</v>
      </c>
    </row>
    <row r="13" customFormat="false" ht="15" hidden="false" customHeight="false" outlineLevel="0" collapsed="false">
      <c r="B13" s="3" t="s">
        <v>15</v>
      </c>
      <c r="C13" s="12" t="n">
        <f aca="false">C6*(POWER(1+C7/12,C12)-1)</f>
        <v>36036.8525594014</v>
      </c>
    </row>
    <row r="14" customFormat="false" ht="15" hidden="false" customHeight="false" outlineLevel="0" collapsed="false">
      <c r="B14" s="3" t="s">
        <v>16</v>
      </c>
      <c r="C14" s="12" t="n">
        <f aca="false">C6*C8*(C9/365)</f>
        <v>59178.0821917808</v>
      </c>
    </row>
    <row r="15" customFormat="false" ht="15" hidden="false" customHeight="false" outlineLevel="0" collapsed="false">
      <c r="B15" s="4" t="s">
        <v>17</v>
      </c>
      <c r="C15" s="13" t="n">
        <f aca="false">C6+C13+C14</f>
        <v>595214.934751182</v>
      </c>
    </row>
    <row r="17" customFormat="false" ht="15" hidden="false" customHeight="false" outlineLevel="0" collapsed="false">
      <c r="B17" s="2" t="s">
        <v>18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27AF77-70AB-42E1-9033-6C7455E7225E}"/>
</file>

<file path=customXml/itemProps2.xml><?xml version="1.0" encoding="utf-8"?>
<ds:datastoreItem xmlns:ds="http://schemas.openxmlformats.org/officeDocument/2006/customXml" ds:itemID="{F32863A7-3015-4762-A5FF-819743B3D881}"/>
</file>

<file path=customXml/itemProps3.xml><?xml version="1.0" encoding="utf-8"?>
<ds:datastoreItem xmlns:ds="http://schemas.openxmlformats.org/officeDocument/2006/customXml" ds:itemID="{EFCF1FB9-986C-48C1-A73D-8FB5A4112F2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2026-07-20T16:05:03Z</dcterms:created>
  <dcterms:modified xsi:type="dcterms:W3CDTF">2026-07-20T16:05:03Z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