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Assumptions" sheetId="1" state="visible" r:id="rId1"/>
    <sheet xmlns:r="http://schemas.openxmlformats.org/officeDocument/2006/relationships" name="2 Programme economics" sheetId="2" state="visible" r:id="rId2"/>
    <sheet xmlns:r="http://schemas.openxmlformats.org/officeDocument/2006/relationships" name="3 Partnership P&amp;L" sheetId="3" state="visible" r:id="rId3"/>
    <sheet xmlns:r="http://schemas.openxmlformats.org/officeDocument/2006/relationships" name="4 Competition model" sheetId="4" state="visible" r:id="rId4"/>
    <sheet xmlns:r="http://schemas.openxmlformats.org/officeDocument/2006/relationships" name="5 Three-year portfol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"/>
    <numFmt numFmtId="165" formatCode="0.0%"/>
    <numFmt numFmtId="166" formatCode="0.0&quot;x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10375C"/>
      <sz val="15"/>
    </font>
    <font>
      <name val="Calibri"/>
      <i val="1"/>
      <color rgb="00595959"/>
      <sz val="9.5"/>
    </font>
    <font>
      <name val="Calibri"/>
      <b val="1"/>
      <color rgb="000E7C7B"/>
      <sz val="11"/>
    </font>
    <font>
      <name val="Calibri"/>
      <sz val="9.5"/>
    </font>
    <font>
      <name val="Calibri"/>
      <b val="1"/>
      <sz val="9.5"/>
    </font>
    <font>
      <name val="Calibri"/>
      <i val="1"/>
      <sz val="9.5"/>
    </font>
  </fonts>
  <fills count="5">
    <fill>
      <patternFill/>
    </fill>
    <fill>
      <patternFill patternType="gray125"/>
    </fill>
    <fill>
      <patternFill patternType="solid">
        <fgColor rgb="0010375C"/>
      </patternFill>
    </fill>
    <fill>
      <patternFill patternType="solid">
        <fgColor rgb="00EAF1F4"/>
      </patternFill>
    </fill>
    <fill>
      <patternFill patternType="solid">
        <fgColor rgb="00FDF6EC"/>
      </patternFill>
    </fill>
  </fills>
  <borders count="2">
    <border>
      <left/>
      <right/>
      <top/>
      <bottom/>
      <diagonal/>
    </border>
    <border>
      <left style="thin">
        <color rgb="00C9D6DE"/>
      </left>
      <right style="thin">
        <color rgb="00C9D6DE"/>
      </right>
      <top style="thin">
        <color rgb="00C9D6DE"/>
      </top>
      <bottom style="thin">
        <color rgb="00C9D6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5" fillId="0" borderId="1" pivotButton="0" quotePrefix="0" xfId="0"/>
    <xf numFmtId="165" fontId="5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0" borderId="1" pivotButton="0" quotePrefix="0" xfId="0"/>
    <xf numFmtId="164" fontId="6" fillId="3" borderId="1" pivotButton="0" quotePrefix="0" xfId="0"/>
    <xf numFmtId="0" fontId="7" fillId="0" borderId="1" pivotButton="0" quotePrefix="0" xfId="0"/>
    <xf numFmtId="0" fontId="7" fillId="3" borderId="1" pivotButton="0" quotePrefix="0" xfId="0"/>
    <xf numFmtId="164" fontId="6" fillId="0" borderId="1" pivotButton="0" quotePrefix="0" xfId="0"/>
    <xf numFmtId="165" fontId="6" fillId="4" borderId="1" pivotButton="0" quotePrefix="0" xfId="0"/>
    <xf numFmtId="164" fontId="7" fillId="0" borderId="1" pivotButton="0" quotePrefix="0" xfId="0"/>
    <xf numFmtId="165" fontId="6" fillId="0" borderId="1" pivotButton="0" quotePrefix="0" xfId="0"/>
    <xf numFmtId="165" fontId="6" fillId="3" borderId="1" pivotButton="0" quotePrefix="0" xfId="0"/>
    <xf numFmtId="166" fontId="6" fillId="4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56" customWidth="1" min="3" max="3"/>
    <col width="14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Assumptions</t>
        </is>
      </c>
    </row>
    <row r="3">
      <c r="A3" s="3" t="inlineStr">
        <is>
          <t>Every driver in the model lives here. Change a value in column C and the whole workbook recalculates. Amounts in INR, exclusive of taxes.</t>
        </is>
      </c>
    </row>
    <row r="6">
      <c r="A6" s="4" t="inlineStr">
        <is>
          <t>A · Student programme pricing (per participant)</t>
        </is>
      </c>
    </row>
    <row r="7" ht="28" customHeight="1">
      <c r="A7" s="5" t="inlineStr">
        <is>
          <t>Code</t>
        </is>
      </c>
      <c r="B7" s="5" t="inlineStr">
        <is>
          <t>Programme</t>
        </is>
      </c>
      <c r="C7" s="5" t="inlineStr">
        <is>
          <t>List</t>
        </is>
      </c>
      <c r="D7" s="5" t="inlineStr">
        <is>
          <t>Partner rate</t>
        </is>
      </c>
      <c r="E7" s="5" t="inlineStr">
        <is>
          <t>Floor</t>
        </is>
      </c>
      <c r="F7" s="5" t="inlineStr">
        <is>
          <t>Min cohort</t>
        </is>
      </c>
      <c r="G7" s="5" t="inlineStr">
        <is>
          <t>Max cohort</t>
        </is>
      </c>
    </row>
    <row r="8">
      <c r="A8" s="6" t="inlineStr">
        <is>
          <t>T-40-S</t>
        </is>
      </c>
      <c r="B8" s="6" t="inlineStr">
        <is>
          <t>Basic Mediation Training, 40 hours</t>
        </is>
      </c>
      <c r="C8" s="7" t="n">
        <v>12500</v>
      </c>
      <c r="D8" s="7" t="n">
        <v>9500</v>
      </c>
      <c r="E8" s="7" t="n">
        <v>7500</v>
      </c>
      <c r="F8" s="6" t="n">
        <v>25</v>
      </c>
      <c r="G8" s="6" t="n">
        <v>30</v>
      </c>
    </row>
    <row r="9">
      <c r="A9" s="8" t="inlineStr">
        <is>
          <t>T-20-S</t>
        </is>
      </c>
      <c r="B9" s="8" t="inlineStr">
        <is>
          <t>Advanced Mediation Training, 20 hours</t>
        </is>
      </c>
      <c r="C9" s="9" t="n">
        <v>7500</v>
      </c>
      <c r="D9" s="9" t="n">
        <v>5500</v>
      </c>
      <c r="E9" s="9" t="n">
        <v>4500</v>
      </c>
      <c r="F9" s="8" t="n">
        <v>20</v>
      </c>
      <c r="G9" s="8" t="n">
        <v>24</v>
      </c>
    </row>
    <row r="10">
      <c r="A10" s="6" t="inlineStr">
        <is>
          <t>C-CERT</t>
        </is>
      </c>
      <c r="B10" s="6" t="inlineStr">
        <is>
          <t>Credit-bearing certificate course</t>
        </is>
      </c>
      <c r="C10" s="7" t="n">
        <v>14000</v>
      </c>
      <c r="D10" s="7" t="n">
        <v>11000</v>
      </c>
      <c r="E10" s="7" t="n">
        <v>8500</v>
      </c>
      <c r="F10" s="6" t="n">
        <v>30</v>
      </c>
      <c r="G10" s="6" t="n">
        <v>40</v>
      </c>
    </row>
    <row r="11">
      <c r="A11" s="8" t="inlineStr">
        <is>
          <t>W-FULL-S</t>
        </is>
      </c>
      <c r="B11" s="8" t="inlineStr">
        <is>
          <t>Workshop, full day</t>
        </is>
      </c>
      <c r="C11" s="9" t="n">
        <v>2800</v>
      </c>
      <c r="D11" s="9" t="n">
        <v>2200</v>
      </c>
      <c r="E11" s="9" t="n">
        <v>1500</v>
      </c>
      <c r="F11" s="8" t="n">
        <v>25</v>
      </c>
      <c r="G11" s="8" t="n">
        <v>45</v>
      </c>
    </row>
    <row r="12">
      <c r="A12" s="6" t="inlineStr">
        <is>
          <t>SCH-RES</t>
        </is>
      </c>
      <c r="B12" s="6" t="inlineStr">
        <is>
          <t>Residential school, 6 days</t>
        </is>
      </c>
      <c r="C12" s="7" t="n">
        <v>26000</v>
      </c>
      <c r="D12" s="7" t="n">
        <v>22000</v>
      </c>
      <c r="E12" s="7" t="n">
        <v>17500</v>
      </c>
      <c r="F12" s="6" t="n">
        <v>25</v>
      </c>
      <c r="G12" s="6" t="n">
        <v>40</v>
      </c>
    </row>
    <row r="14">
      <c r="A14" s="4" t="inlineStr">
        <is>
          <t>B · Institution-paid programme pricing (per programme)</t>
        </is>
      </c>
    </row>
    <row r="15" ht="28" customHeight="1">
      <c r="A15" s="5" t="inlineStr">
        <is>
          <t>Code</t>
        </is>
      </c>
      <c r="B15" s="5" t="inlineStr">
        <is>
          <t>Programme</t>
        </is>
      </c>
      <c r="C15" s="5" t="inlineStr">
        <is>
          <t>List</t>
        </is>
      </c>
      <c r="D15" s="5" t="inlineStr">
        <is>
          <t>Floor</t>
        </is>
      </c>
      <c r="E15" s="5" t="inlineStr">
        <is>
          <t>Capacity</t>
        </is>
      </c>
    </row>
    <row r="16">
      <c r="A16" s="6" t="inlineStr">
        <is>
          <t>T-FDP</t>
        </is>
      </c>
      <c r="B16" s="6" t="inlineStr">
        <is>
          <t>Faculty Development Programme, 5 days</t>
        </is>
      </c>
      <c r="C16" s="7" t="n">
        <v>350000</v>
      </c>
      <c r="D16" s="7" t="n">
        <v>260000</v>
      </c>
      <c r="E16" s="6" t="n">
        <v>30</v>
      </c>
    </row>
    <row r="17">
      <c r="A17" s="8" t="inlineStr">
        <is>
          <t>W-FULL-I</t>
        </is>
      </c>
      <c r="B17" s="8" t="inlineStr">
        <is>
          <t>Workshop, full day, block booking</t>
        </is>
      </c>
      <c r="C17" s="9" t="n">
        <v>65000</v>
      </c>
      <c r="D17" s="9" t="n">
        <v>45000</v>
      </c>
      <c r="E17" s="8" t="n">
        <v>45</v>
      </c>
    </row>
    <row r="18">
      <c r="A18" s="6" t="inlineStr">
        <is>
          <t>A-POSH</t>
        </is>
      </c>
      <c r="B18" s="6" t="inlineStr">
        <is>
          <t>Internal Committee training, 1 day</t>
        </is>
      </c>
      <c r="C18" s="7" t="n">
        <v>85000</v>
      </c>
      <c r="D18" s="7" t="n">
        <v>60000</v>
      </c>
      <c r="E18" s="6" t="n">
        <v>25</v>
      </c>
    </row>
    <row r="19">
      <c r="A19" s="8" t="inlineStr">
        <is>
          <t>A-SGRC</t>
        </is>
      </c>
      <c r="B19" s="8" t="inlineStr">
        <is>
          <t>Grievance &amp; Ombudsperson workshop, 1 day</t>
        </is>
      </c>
      <c r="C19" s="9" t="n">
        <v>95000</v>
      </c>
      <c r="D19" s="9" t="n">
        <v>70000</v>
      </c>
      <c r="E19" s="8" t="n">
        <v>25</v>
      </c>
    </row>
    <row r="20">
      <c r="A20" s="6" t="inlineStr">
        <is>
          <t>ADV-A</t>
        </is>
      </c>
      <c r="B20" s="6" t="inlineStr">
        <is>
          <t>Institutional advisory retainer, comprehensive p.a.</t>
        </is>
      </c>
      <c r="C20" s="7" t="n">
        <v>360000</v>
      </c>
      <c r="D20" s="7" t="n">
        <v>270000</v>
      </c>
      <c r="E20" s="6" t="n">
        <v>0</v>
      </c>
    </row>
    <row r="21">
      <c r="A21" s="8" t="inlineStr">
        <is>
          <t>ADV-B</t>
        </is>
      </c>
      <c r="B21" s="8" t="inlineStr">
        <is>
          <t>Institutional advisory retainer, standard p.a.</t>
        </is>
      </c>
      <c r="C21" s="9" t="n">
        <v>180000</v>
      </c>
      <c r="D21" s="9" t="n">
        <v>135000</v>
      </c>
      <c r="E21" s="8" t="n">
        <v>0</v>
      </c>
    </row>
    <row r="22">
      <c r="A22" s="6" t="inlineStr">
        <is>
          <t>COACH-INTL</t>
        </is>
      </c>
      <c r="B22" s="6" t="inlineStr">
        <is>
          <t>Coaching, international competition, per team</t>
        </is>
      </c>
      <c r="C22" s="7" t="n">
        <v>225000</v>
      </c>
      <c r="D22" s="7" t="n">
        <v>160000</v>
      </c>
      <c r="E22" s="6" t="n">
        <v>0</v>
      </c>
    </row>
    <row r="23">
      <c r="A23" s="8" t="inlineStr">
        <is>
          <t>COACH-NAT</t>
        </is>
      </c>
      <c r="B23" s="8" t="inlineStr">
        <is>
          <t>Coaching, national competition, per team</t>
        </is>
      </c>
      <c r="C23" s="9" t="n">
        <v>110000</v>
      </c>
      <c r="D23" s="9" t="n">
        <v>80000</v>
      </c>
      <c r="E23" s="8" t="n">
        <v>0</v>
      </c>
    </row>
    <row r="24">
      <c r="A24" s="6" t="inlineStr">
        <is>
          <t>LIC-CURR</t>
        </is>
      </c>
      <c r="B24" s="6" t="inlineStr">
        <is>
          <t>Curriculum licence p.a.</t>
        </is>
      </c>
      <c r="C24" s="7" t="n">
        <v>125000</v>
      </c>
      <c r="D24" s="7" t="n">
        <v>75000</v>
      </c>
      <c r="E24" s="6" t="n">
        <v>0</v>
      </c>
    </row>
    <row r="26">
      <c r="A26" s="4" t="inlineStr">
        <is>
          <t>C · Cost drivers</t>
        </is>
      </c>
    </row>
    <row r="27" ht="28" customHeight="1">
      <c r="A27" s="5" t="inlineStr">
        <is>
          <t>Ref</t>
        </is>
      </c>
      <c r="B27" s="5" t="inlineStr">
        <is>
          <t>Cost</t>
        </is>
      </c>
      <c r="C27" s="5" t="inlineStr">
        <is>
          <t>Basis</t>
        </is>
      </c>
      <c r="D27" s="5" t="inlineStr">
        <is>
          <t>Rate</t>
        </is>
      </c>
    </row>
    <row r="28">
      <c r="A28" s="6" t="inlineStr">
        <is>
          <t>C1</t>
        </is>
      </c>
      <c r="B28" s="6" t="inlineStr">
        <is>
          <t>Lead trainer, multi-day block</t>
        </is>
      </c>
      <c r="C28" s="6" t="inlineStr">
        <is>
          <t>per day</t>
        </is>
      </c>
      <c r="D28" s="7" t="n">
        <v>15000</v>
      </c>
    </row>
    <row r="29">
      <c r="A29" s="8" t="inlineStr">
        <is>
          <t>C2</t>
        </is>
      </c>
      <c r="B29" s="8" t="inlineStr">
        <is>
          <t>Lead trainer, single marquee session</t>
        </is>
      </c>
      <c r="C29" s="8" t="inlineStr">
        <is>
          <t>per day</t>
        </is>
      </c>
      <c r="D29" s="9" t="n">
        <v>22000</v>
      </c>
    </row>
    <row r="30">
      <c r="A30" s="6" t="inlineStr">
        <is>
          <t>C3</t>
        </is>
      </c>
      <c r="B30" s="6" t="inlineStr">
        <is>
          <t>Associate trainer</t>
        </is>
      </c>
      <c r="C30" s="6" t="inlineStr">
        <is>
          <t>per day</t>
        </is>
      </c>
      <c r="D30" s="7" t="n">
        <v>7500</v>
      </c>
    </row>
    <row r="31">
      <c r="A31" s="8" t="inlineStr">
        <is>
          <t>C4</t>
        </is>
      </c>
      <c r="B31" s="8" t="inlineStr">
        <is>
          <t>Assessment and marking</t>
        </is>
      </c>
      <c r="C31" s="8" t="inlineStr">
        <is>
          <t>per script</t>
        </is>
      </c>
      <c r="D31" s="9" t="n">
        <v>350</v>
      </c>
    </row>
    <row r="32">
      <c r="A32" s="6" t="inlineStr">
        <is>
          <t>C5</t>
        </is>
      </c>
      <c r="B32" s="6" t="inlineStr">
        <is>
          <t>Participant materials</t>
        </is>
      </c>
      <c r="C32" s="6" t="inlineStr">
        <is>
          <t>per participant</t>
        </is>
      </c>
      <c r="D32" s="7" t="n">
        <v>450</v>
      </c>
    </row>
    <row r="33">
      <c r="A33" s="8" t="inlineStr">
        <is>
          <t>C6</t>
        </is>
      </c>
      <c r="B33" s="8" t="inlineStr">
        <is>
          <t>Certificate, printing, register</t>
        </is>
      </c>
      <c r="C33" s="8" t="inlineStr">
        <is>
          <t>per participant</t>
        </is>
      </c>
      <c r="D33" s="9" t="n">
        <v>120</v>
      </c>
    </row>
    <row r="34">
      <c r="A34" s="6" t="inlineStr">
        <is>
          <t>C7</t>
        </is>
      </c>
      <c r="B34" s="6" t="inlineStr">
        <is>
          <t>Trainer travel, outstation return</t>
        </is>
      </c>
      <c r="C34" s="6" t="inlineStr">
        <is>
          <t>per trainer per trip</t>
        </is>
      </c>
      <c r="D34" s="7" t="n">
        <v>9000</v>
      </c>
    </row>
    <row r="35">
      <c r="A35" s="8" t="inlineStr">
        <is>
          <t>C8</t>
        </is>
      </c>
      <c r="B35" s="8" t="inlineStr">
        <is>
          <t>Trainer accommodation</t>
        </is>
      </c>
      <c r="C35" s="8" t="inlineStr">
        <is>
          <t>per night</t>
        </is>
      </c>
      <c r="D35" s="9" t="n">
        <v>4500</v>
      </c>
    </row>
    <row r="36">
      <c r="A36" s="6" t="inlineStr">
        <is>
          <t>C9</t>
        </is>
      </c>
      <c r="B36" s="6" t="inlineStr">
        <is>
          <t>Local conveyance</t>
        </is>
      </c>
      <c r="C36" s="6" t="inlineStr">
        <is>
          <t>per programme</t>
        </is>
      </c>
      <c r="D36" s="7" t="n">
        <v>5000</v>
      </c>
    </row>
    <row r="37">
      <c r="A37" s="8" t="inlineStr">
        <is>
          <t>C10</t>
        </is>
      </c>
      <c r="B37" s="8" t="inlineStr">
        <is>
          <t>Programme management allocation</t>
        </is>
      </c>
      <c r="C37" s="8" t="inlineStr">
        <is>
          <t>per programme day</t>
        </is>
      </c>
      <c r="D37" s="9" t="n">
        <v>6500</v>
      </c>
    </row>
    <row r="38">
      <c r="A38" s="6" t="inlineStr">
        <is>
          <t>C11</t>
        </is>
      </c>
      <c r="B38" s="6" t="inlineStr">
        <is>
          <t>Competition problem development</t>
        </is>
      </c>
      <c r="C38" s="6" t="inlineStr">
        <is>
          <t>per problem</t>
        </is>
      </c>
      <c r="D38" s="7" t="n">
        <v>120000</v>
      </c>
    </row>
    <row r="39">
      <c r="A39" s="8" t="inlineStr">
        <is>
          <t>C12</t>
        </is>
      </c>
      <c r="B39" s="8" t="inlineStr">
        <is>
          <t>Judge honorarium</t>
        </is>
      </c>
      <c r="C39" s="8" t="inlineStr">
        <is>
          <t>per judge per day</t>
        </is>
      </c>
      <c r="D39" s="9" t="n">
        <v>5000</v>
      </c>
    </row>
    <row r="40">
      <c r="A40" s="6" t="inlineStr">
        <is>
          <t>C13</t>
        </is>
      </c>
      <c r="B40" s="6" t="inlineStr">
        <is>
          <t>Coaching session delivery</t>
        </is>
      </c>
      <c r="C40" s="6" t="inlineStr">
        <is>
          <t>per hour</t>
        </is>
      </c>
      <c r="D40" s="7" t="n">
        <v>2000</v>
      </c>
    </row>
    <row r="41">
      <c r="A41" s="8" t="inlineStr">
        <is>
          <t>C14</t>
        </is>
      </c>
      <c r="B41" s="8" t="inlineStr">
        <is>
          <t>Senior consultant, advisory</t>
        </is>
      </c>
      <c r="C41" s="8" t="inlineStr">
        <is>
          <t>per day</t>
        </is>
      </c>
      <c r="D41" s="9" t="n">
        <v>15000</v>
      </c>
    </row>
    <row r="42">
      <c r="A42" s="6" t="inlineStr">
        <is>
          <t>C15</t>
        </is>
      </c>
      <c r="B42" s="6" t="inlineStr">
        <is>
          <t>Photography and documentation</t>
        </is>
      </c>
      <c r="C42" s="6" t="inlineStr">
        <is>
          <t>per event day</t>
        </is>
      </c>
      <c r="D42" s="7" t="n">
        <v>12000</v>
      </c>
    </row>
    <row r="44">
      <c r="A44" s="4" t="inlineStr">
        <is>
          <t>D · Revenue-share splits (Equator share)</t>
        </is>
      </c>
    </row>
    <row r="45" ht="28" customHeight="1">
      <c r="A45" s="5" t="inlineStr">
        <is>
          <t>Programme</t>
        </is>
      </c>
      <c r="B45" s="5" t="inlineStr">
        <is>
          <t>Equator</t>
        </is>
      </c>
      <c r="C45" s="5" t="inlineStr">
        <is>
          <t>Institution</t>
        </is>
      </c>
    </row>
    <row r="46">
      <c r="A46" s="6" t="inlineStr">
        <is>
          <t>T-40-S, T-20-S</t>
        </is>
      </c>
      <c r="B46" s="10" t="n">
        <v>0.7</v>
      </c>
      <c r="C46" s="10" t="n">
        <v>0.3</v>
      </c>
    </row>
    <row r="47">
      <c r="A47" s="8" t="inlineStr">
        <is>
          <t>C-CERT credit-bearing</t>
        </is>
      </c>
      <c r="B47" s="11" t="n">
        <v>0.65</v>
      </c>
      <c r="C47" s="11" t="n">
        <v>0.35</v>
      </c>
    </row>
    <row r="48">
      <c r="A48" s="6" t="inlineStr">
        <is>
          <t>Workshops</t>
        </is>
      </c>
      <c r="B48" s="10" t="n">
        <v>0.75</v>
      </c>
      <c r="C48" s="10" t="n">
        <v>0.25</v>
      </c>
    </row>
    <row r="49">
      <c r="A49" s="8" t="inlineStr">
        <is>
          <t>Residential school</t>
        </is>
      </c>
      <c r="B49" s="11" t="n">
        <v>0.6</v>
      </c>
      <c r="C49" s="11" t="n">
        <v>0.4</v>
      </c>
    </row>
    <row r="50">
      <c r="A50" s="6" t="inlineStr">
        <is>
          <t>Competition surplus, hosted</t>
        </is>
      </c>
      <c r="B50" s="10" t="n">
        <v>0.6</v>
      </c>
      <c r="C50" s="10" t="n">
        <v>0.4</v>
      </c>
    </row>
    <row r="52">
      <c r="A52" s="4" t="inlineStr">
        <is>
          <t>E · Partnership acquisition cost</t>
        </is>
      </c>
    </row>
    <row r="53" ht="28" customHeight="1">
      <c r="A53" s="5" t="inlineStr">
        <is>
          <t>Element</t>
        </is>
      </c>
      <c r="B53" s="5" t="inlineStr">
        <is>
          <t>Tier 1</t>
        </is>
      </c>
      <c r="C53" s="5" t="inlineStr">
        <is>
          <t>Tier 2</t>
        </is>
      </c>
      <c r="D53" s="5" t="inlineStr">
        <is>
          <t>Tier 3</t>
        </is>
      </c>
    </row>
    <row r="54">
      <c r="A54" s="6" t="inlineStr">
        <is>
          <t>Business development time</t>
        </is>
      </c>
      <c r="B54" s="7" t="n">
        <v>54000</v>
      </c>
      <c r="C54" s="7" t="n">
        <v>27000</v>
      </c>
      <c r="D54" s="7" t="n">
        <v>9000</v>
      </c>
    </row>
    <row r="55">
      <c r="A55" s="8" t="inlineStr">
        <is>
          <t>Travel for meetings</t>
        </is>
      </c>
      <c r="B55" s="9" t="n">
        <v>27000</v>
      </c>
      <c r="C55" s="9" t="n">
        <v>14000</v>
      </c>
      <c r="D55" s="9" t="n">
        <v>0</v>
      </c>
    </row>
    <row r="56">
      <c r="A56" s="6" t="inlineStr">
        <is>
          <t>Legal review</t>
        </is>
      </c>
      <c r="B56" s="7" t="n">
        <v>30000</v>
      </c>
      <c r="C56" s="7" t="n">
        <v>15000</v>
      </c>
      <c r="D56" s="7" t="n">
        <v>5000</v>
      </c>
    </row>
    <row r="57">
      <c r="A57" s="8" t="inlineStr">
        <is>
          <t>Programme Director time</t>
        </is>
      </c>
      <c r="B57" s="9" t="n">
        <v>27000</v>
      </c>
      <c r="C57" s="9" t="n">
        <v>9000</v>
      </c>
      <c r="D57" s="9" t="n">
        <v>0</v>
      </c>
    </row>
    <row r="58">
      <c r="A58" s="6" t="inlineStr">
        <is>
          <t>Proposal and collateral</t>
        </is>
      </c>
      <c r="B58" s="7" t="n">
        <v>8000</v>
      </c>
      <c r="C58" s="7" t="n">
        <v>5000</v>
      </c>
      <c r="D58" s="7" t="n">
        <v>2000</v>
      </c>
    </row>
    <row r="59">
      <c r="A59" s="12" t="inlineStr">
        <is>
          <t>Total acquisition cost</t>
        </is>
      </c>
      <c r="B59" s="13">
        <f>SUM(B54:B58)</f>
        <v/>
      </c>
      <c r="C59" s="13">
        <f>SUM(C54:C58)</f>
        <v/>
      </c>
      <c r="D59" s="13">
        <f>SUM(D54:D58)</f>
        <v/>
      </c>
    </row>
    <row r="61">
      <c r="A61" s="4" t="inlineStr">
        <is>
          <t>F · Non-cash returns</t>
        </is>
      </c>
    </row>
    <row r="62" ht="28" customHeight="1">
      <c r="A62" s="5" t="inlineStr">
        <is>
          <t>Item</t>
        </is>
      </c>
      <c r="B62" s="5" t="inlineStr">
        <is>
          <t>Rate</t>
        </is>
      </c>
      <c r="C62" s="5" t="inlineStr">
        <is>
          <t>Note</t>
        </is>
      </c>
    </row>
    <row r="63">
      <c r="A63" s="6" t="inlineStr">
        <is>
          <t>Cost of hire avoided, per intern converted</t>
        </is>
      </c>
      <c r="B63" s="7" t="n">
        <v>110000</v>
      </c>
      <c r="C63" s="14" t="inlineStr">
        <is>
          <t>Recruitment, screening and initial training displaced</t>
        </is>
      </c>
    </row>
    <row r="64">
      <c r="A64" s="8" t="inlineStr">
        <is>
          <t>Venue and production cost avoided, per major event</t>
        </is>
      </c>
      <c r="B64" s="9" t="n">
        <v>320000</v>
      </c>
      <c r="C64" s="15" t="inlineStr">
        <is>
          <t>Campus venue, hostel and volunteers</t>
        </is>
      </c>
    </row>
    <row r="65">
      <c r="A65" s="6" t="inlineStr">
        <is>
          <t>Content produced by student ambassadors, per Tier 1 p.a.</t>
        </is>
      </c>
      <c r="B65" s="7" t="n">
        <v>60000</v>
      </c>
      <c r="C65" s="14" t="inlineStr">
        <is>
          <t>Displaced agency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Programme unit economics</t>
        </is>
      </c>
    </row>
    <row r="3">
      <c r="A3" s="3" t="inlineStr">
        <is>
          <t>Live formulas. The central finding is at row 30: the same student course earns ~30% locally and ~6% with outstation trainers.</t>
        </is>
      </c>
    </row>
    <row r="6">
      <c r="A6" s="4" t="inlineStr">
        <is>
          <t>A · T-40-S Basic Mediation Training, student cohort</t>
        </is>
      </c>
    </row>
    <row r="7" ht="28" customHeight="1">
      <c r="A7" s="5" t="inlineStr">
        <is>
          <t>Line</t>
        </is>
      </c>
      <c r="B7" s="5" t="inlineStr">
        <is>
          <t>Basis</t>
        </is>
      </c>
      <c r="C7" s="5" t="inlineStr">
        <is>
          <t>Local bench</t>
        </is>
      </c>
      <c r="D7" s="5" t="inlineStr">
        <is>
          <t>Outstation</t>
        </is>
      </c>
    </row>
    <row r="8">
      <c r="A8" s="6" t="inlineStr">
        <is>
          <t>Cohort size</t>
        </is>
      </c>
      <c r="B8" s="6" t="inlineStr">
        <is>
          <t>participants</t>
        </is>
      </c>
      <c r="C8" s="6" t="n">
        <v>40</v>
      </c>
      <c r="D8" s="6" t="n">
        <v>40</v>
      </c>
    </row>
    <row r="9">
      <c r="A9" s="6" t="inlineStr">
        <is>
          <t>Partner rate per participant</t>
        </is>
      </c>
      <c r="B9" s="6" t="inlineStr">
        <is>
          <t>Assumptions A, T-40-S</t>
        </is>
      </c>
      <c r="C9" s="7">
        <f>'1 Assumptions'!$D$8</f>
        <v/>
      </c>
      <c r="D9" s="7">
        <f>C9</f>
        <v/>
      </c>
    </row>
    <row r="10">
      <c r="A10" s="6" t="inlineStr">
        <is>
          <t>Gross participant fees</t>
        </is>
      </c>
      <c r="B10" s="6" t="inlineStr">
        <is>
          <t>cohort x rate</t>
        </is>
      </c>
      <c r="C10" s="7">
        <f>C8*C9</f>
        <v/>
      </c>
      <c r="D10" s="7">
        <f>D8*D9</f>
        <v/>
      </c>
    </row>
    <row r="11">
      <c r="A11" s="16" t="inlineStr">
        <is>
          <t>Equator revenue share</t>
        </is>
      </c>
      <c r="B11" s="6" t="inlineStr">
        <is>
          <t>70%</t>
        </is>
      </c>
      <c r="C11" s="17">
        <f>C10*'1 Assumptions'!$B$46</f>
        <v/>
      </c>
      <c r="D11" s="17">
        <f>D10*'1 Assumptions'!$B$46</f>
        <v/>
      </c>
    </row>
    <row r="12">
      <c r="A12" s="6" t="inlineStr">
        <is>
          <t>Lead trainer</t>
        </is>
      </c>
      <c r="B12" s="18" t="inlineStr">
        <is>
          <t>5 days</t>
        </is>
      </c>
      <c r="C12" s="7">
        <f>5*'1 Assumptions'!$D$28</f>
        <v/>
      </c>
      <c r="D12" s="7">
        <f>5*'1 Assumptions'!$D$28</f>
        <v/>
      </c>
    </row>
    <row r="13">
      <c r="A13" s="8" t="inlineStr">
        <is>
          <t>Associate trainer</t>
        </is>
      </c>
      <c r="B13" s="19" t="inlineStr">
        <is>
          <t>5 days</t>
        </is>
      </c>
      <c r="C13" s="9">
        <f>5*'1 Assumptions'!$D$30</f>
        <v/>
      </c>
      <c r="D13" s="9">
        <f>5*'1 Assumptions'!$D$30</f>
        <v/>
      </c>
    </row>
    <row r="14">
      <c r="A14" s="6" t="inlineStr">
        <is>
          <t>Materials</t>
        </is>
      </c>
      <c r="B14" s="18" t="inlineStr">
        <is>
          <t>per participant</t>
        </is>
      </c>
      <c r="C14" s="7">
        <f>C8*'1 Assumptions'!$D$32</f>
        <v/>
      </c>
      <c r="D14" s="7">
        <f>D8*'1 Assumptions'!$D$32</f>
        <v/>
      </c>
    </row>
    <row r="15">
      <c r="A15" s="8" t="inlineStr">
        <is>
          <t>Certificates</t>
        </is>
      </c>
      <c r="B15" s="19" t="inlineStr">
        <is>
          <t>per participant</t>
        </is>
      </c>
      <c r="C15" s="9">
        <f>C8*'1 Assumptions'!$D$33</f>
        <v/>
      </c>
      <c r="D15" s="9">
        <f>D8*'1 Assumptions'!$D$33</f>
        <v/>
      </c>
    </row>
    <row r="16">
      <c r="A16" s="6" t="inlineStr">
        <is>
          <t>Assessment and marking</t>
        </is>
      </c>
      <c r="B16" s="18" t="inlineStr">
        <is>
          <t>per script</t>
        </is>
      </c>
      <c r="C16" s="7">
        <f>C8*'1 Assumptions'!$D$31</f>
        <v/>
      </c>
      <c r="D16" s="7">
        <f>D8*'1 Assumptions'!$D$31</f>
        <v/>
      </c>
    </row>
    <row r="17">
      <c r="A17" s="8" t="inlineStr">
        <is>
          <t>Local conveyance</t>
        </is>
      </c>
      <c r="B17" s="19" t="inlineStr">
        <is>
          <t>per programme</t>
        </is>
      </c>
      <c r="C17" s="9">
        <f>'1 Assumptions'!$D$36</f>
        <v/>
      </c>
      <c r="D17" s="9">
        <f>'1 Assumptions'!$D$36</f>
        <v/>
      </c>
    </row>
    <row r="18">
      <c r="A18" s="6" t="inlineStr">
        <is>
          <t>Trainer travel</t>
        </is>
      </c>
      <c r="B18" s="18" t="inlineStr">
        <is>
          <t>2 trainers</t>
        </is>
      </c>
      <c r="C18" s="7" t="n">
        <v>0</v>
      </c>
      <c r="D18" s="7">
        <f>2*'1 Assumptions'!$D$34</f>
        <v/>
      </c>
    </row>
    <row r="19">
      <c r="A19" s="8" t="inlineStr">
        <is>
          <t>Trainer accommodation</t>
        </is>
      </c>
      <c r="B19" s="19" t="inlineStr">
        <is>
          <t>5 nights x 2</t>
        </is>
      </c>
      <c r="C19" s="9" t="n">
        <v>0</v>
      </c>
      <c r="D19" s="9">
        <f>5*2*'1 Assumptions'!$D$35</f>
        <v/>
      </c>
    </row>
    <row r="20">
      <c r="A20" s="6" t="inlineStr">
        <is>
          <t>Programme management</t>
        </is>
      </c>
      <c r="B20" s="18" t="inlineStr">
        <is>
          <t>5 days</t>
        </is>
      </c>
      <c r="C20" s="7">
        <f>5*'1 Assumptions'!$D$37</f>
        <v/>
      </c>
      <c r="D20" s="7">
        <f>5*'1 Assumptions'!$D$37</f>
        <v/>
      </c>
    </row>
    <row r="21">
      <c r="A21" s="16" t="inlineStr">
        <is>
          <t>Total direct cost</t>
        </is>
      </c>
      <c r="C21" s="20">
        <f>SUM(C12:C20)</f>
        <v/>
      </c>
      <c r="D21" s="20">
        <f>SUM(D12:D20)</f>
        <v/>
      </c>
    </row>
    <row r="22">
      <c r="A22" s="12" t="inlineStr">
        <is>
          <t>CONTRIBUTION</t>
        </is>
      </c>
      <c r="C22" s="13">
        <f>C11-C21</f>
        <v/>
      </c>
      <c r="D22" s="13">
        <f>D11-D21</f>
        <v/>
      </c>
    </row>
    <row r="23">
      <c r="A23" s="12" t="inlineStr">
        <is>
          <t>Contribution margin</t>
        </is>
      </c>
      <c r="C23" s="21">
        <f>C22/C11</f>
        <v/>
      </c>
      <c r="D23" s="21">
        <f>D22/D11</f>
        <v/>
      </c>
    </row>
    <row r="24">
      <c r="A24" s="18" t="inlineStr">
        <is>
          <t>Travel and stay penalty</t>
        </is>
      </c>
      <c r="D24" s="22">
        <f>C22-D22</f>
        <v/>
      </c>
    </row>
    <row r="26">
      <c r="A26" s="4" t="inlineStr">
        <is>
          <t>B · Cohort sensitivity, T-40-S local bench</t>
        </is>
      </c>
    </row>
    <row r="27" ht="28" customHeight="1">
      <c r="A27" s="5" t="inlineStr">
        <is>
          <t>Cohort</t>
        </is>
      </c>
      <c r="B27" s="5" t="inlineStr">
        <is>
          <t>Equator share</t>
        </is>
      </c>
      <c r="C27" s="5" t="inlineStr">
        <is>
          <t>Direct cost</t>
        </is>
      </c>
      <c r="D27" s="5" t="inlineStr">
        <is>
          <t>Contribution</t>
        </is>
      </c>
      <c r="E27" s="5" t="inlineStr">
        <is>
          <t>Margin</t>
        </is>
      </c>
    </row>
    <row r="28">
      <c r="A28" s="6" t="n">
        <v>25</v>
      </c>
      <c r="B28" s="7">
        <f>A28*C9*'1 Assumptions'!$B$46</f>
        <v/>
      </c>
      <c r="C28" s="7">
        <f>5*'1 Assumptions'!$D$28+5*'1 Assumptions'!$D$30+A28*('1 Assumptions'!$D$32+'1 Assumptions'!$D$33+'1 Assumptions'!$D$31)+'1 Assumptions'!$D$36+5*'1 Assumptions'!$D$37</f>
        <v/>
      </c>
      <c r="D28" s="7">
        <f>B28-C28</f>
        <v/>
      </c>
      <c r="E28" s="10">
        <f>D28/B28</f>
        <v/>
      </c>
    </row>
    <row r="29">
      <c r="A29" s="8" t="n">
        <v>30</v>
      </c>
      <c r="B29" s="9">
        <f>A29*C9*'1 Assumptions'!$B$46</f>
        <v/>
      </c>
      <c r="C29" s="9">
        <f>5*'1 Assumptions'!$D$28+5*'1 Assumptions'!$D$30+A29*('1 Assumptions'!$D$32+'1 Assumptions'!$D$33+'1 Assumptions'!$D$31)+'1 Assumptions'!$D$36+5*'1 Assumptions'!$D$37</f>
        <v/>
      </c>
      <c r="D29" s="9">
        <f>B29-C29</f>
        <v/>
      </c>
      <c r="E29" s="11">
        <f>D29/B29</f>
        <v/>
      </c>
    </row>
    <row r="30">
      <c r="A30" s="6" t="n">
        <v>35</v>
      </c>
      <c r="B30" s="7">
        <f>A30*C9*'1 Assumptions'!$B$46</f>
        <v/>
      </c>
      <c r="C30" s="7">
        <f>5*'1 Assumptions'!$D$28+5*'1 Assumptions'!$D$30+A30*('1 Assumptions'!$D$32+'1 Assumptions'!$D$33+'1 Assumptions'!$D$31)+'1 Assumptions'!$D$36+5*'1 Assumptions'!$D$37</f>
        <v/>
      </c>
      <c r="D30" s="7">
        <f>B30-C30</f>
        <v/>
      </c>
      <c r="E30" s="10">
        <f>D30/B30</f>
        <v/>
      </c>
    </row>
    <row r="31">
      <c r="A31" s="8" t="n">
        <v>40</v>
      </c>
      <c r="B31" s="9">
        <f>A31*C9*'1 Assumptions'!$B$46</f>
        <v/>
      </c>
      <c r="C31" s="9">
        <f>5*'1 Assumptions'!$D$28+5*'1 Assumptions'!$D$30+A31*('1 Assumptions'!$D$32+'1 Assumptions'!$D$33+'1 Assumptions'!$D$31)+'1 Assumptions'!$D$36+5*'1 Assumptions'!$D$37</f>
        <v/>
      </c>
      <c r="D31" s="9">
        <f>B31-C31</f>
        <v/>
      </c>
      <c r="E31" s="11">
        <f>D31/B31</f>
        <v/>
      </c>
    </row>
    <row r="32">
      <c r="A32" s="6" t="n">
        <v>45</v>
      </c>
      <c r="B32" s="7">
        <f>A32*C9*'1 Assumptions'!$B$46</f>
        <v/>
      </c>
      <c r="C32" s="7">
        <f>5*'1 Assumptions'!$D$28+5*'1 Assumptions'!$D$30+A32*('1 Assumptions'!$D$32+'1 Assumptions'!$D$33+'1 Assumptions'!$D$31)+'1 Assumptions'!$D$36+5*'1 Assumptions'!$D$37</f>
        <v/>
      </c>
      <c r="D32" s="7">
        <f>B32-C32</f>
        <v/>
      </c>
      <c r="E32" s="10">
        <f>D32/B32</f>
        <v/>
      </c>
    </row>
    <row r="34">
      <c r="A34" s="4" t="inlineStr">
        <is>
          <t>C · Other programmes</t>
        </is>
      </c>
    </row>
    <row r="35" ht="28" customHeight="1">
      <c r="A35" s="5" t="inlineStr">
        <is>
          <t>Programme</t>
        </is>
      </c>
      <c r="B35" s="5" t="inlineStr">
        <is>
          <t>Equator revenue</t>
        </is>
      </c>
      <c r="C35" s="5" t="inlineStr">
        <is>
          <t>Direct cost</t>
        </is>
      </c>
      <c r="D35" s="5" t="inlineStr">
        <is>
          <t>Contribution</t>
        </is>
      </c>
      <c r="E35" s="5" t="inlineStr">
        <is>
          <t>Margin</t>
        </is>
      </c>
    </row>
    <row r="36">
      <c r="A36" s="6" t="inlineStr">
        <is>
          <t>T-FDP Faculty Development, 5 days, outstation</t>
        </is>
      </c>
      <c r="B36" s="7">
        <f>'1 Assumptions'!$C$16</f>
        <v/>
      </c>
      <c r="C36" s="7">
        <f>5*'1 Assumptions'!$D$28+5*'1 Assumptions'!$D$30+30*550+30*'1 Assumptions'!$D$33+2*'1 Assumptions'!$D$34+5*2*'1 Assumptions'!$D$35+5*'1 Assumptions'!$D$37</f>
        <v/>
      </c>
      <c r="D36" s="7">
        <f>B36-C36</f>
        <v/>
      </c>
      <c r="E36" s="23">
        <f>D36/B36</f>
        <v/>
      </c>
    </row>
    <row r="37">
      <c r="A37" s="8" t="inlineStr">
        <is>
          <t>COACH-INTL coaching, per team per season</t>
        </is>
      </c>
      <c r="B37" s="9">
        <f>'1 Assumptions'!$C$22</f>
        <v/>
      </c>
      <c r="C37" s="9">
        <f>10*3*'1 Assumptions'!$D$40+3*'1 Assumptions'!$D$39+5000+15000</f>
        <v/>
      </c>
      <c r="D37" s="9">
        <f>B37-C37</f>
        <v/>
      </c>
      <c r="E37" s="24">
        <f>D37/B37</f>
        <v/>
      </c>
    </row>
    <row r="38">
      <c r="A38" s="6" t="inlineStr">
        <is>
          <t>ADV-A advisory retainer, per annum</t>
        </is>
      </c>
      <c r="B38" s="7">
        <f>'1 Assumptions'!$C$20</f>
        <v/>
      </c>
      <c r="C38" s="7">
        <f>12*'1 Assumptions'!$D$41+4*'1 Assumptions'!$D$34+14000+16000</f>
        <v/>
      </c>
      <c r="D38" s="7">
        <f>B38-C38</f>
        <v/>
      </c>
      <c r="E38" s="23">
        <f>D38/B38</f>
        <v/>
      </c>
    </row>
    <row r="39">
      <c r="A39" s="8" t="inlineStr">
        <is>
          <t>LIC-CURR curriculum licence, per annum</t>
        </is>
      </c>
      <c r="B39" s="9">
        <f>'1 Assumptions'!$C$24</f>
        <v/>
      </c>
      <c r="C39" s="9" t="n">
        <v>15000</v>
      </c>
      <c r="D39" s="9">
        <f>B39-C39</f>
        <v/>
      </c>
      <c r="E39" s="24">
        <f>D39/B39</f>
        <v/>
      </c>
    </row>
    <row r="40">
      <c r="A40" s="6" t="inlineStr">
        <is>
          <t>W-FULL-I workshop, full day, block booking, 30 attending</t>
        </is>
      </c>
      <c r="B40" s="7">
        <f>'1 Assumptions'!$C$17</f>
        <v/>
      </c>
      <c r="C40" s="7">
        <f>'1 Assumptions'!$D$28+30*'1 Assumptions'!$D$32</f>
        <v/>
      </c>
      <c r="D40" s="7">
        <f>B40-C40</f>
        <v/>
      </c>
      <c r="E40" s="23">
        <f>D40/B40</f>
        <v/>
      </c>
    </row>
    <row r="41">
      <c r="A41" s="8" t="inlineStr">
        <is>
          <t>A-SGRC grievance workshop, 1 day, outstation</t>
        </is>
      </c>
      <c r="B41" s="9">
        <f>'1 Assumptions'!$C$19</f>
        <v/>
      </c>
      <c r="C41" s="9">
        <f>'1 Assumptions'!$D$29+25*'1 Assumptions'!$D$32+'1 Assumptions'!$D$34</f>
        <v/>
      </c>
      <c r="D41" s="9">
        <f>B41-C41</f>
        <v/>
      </c>
      <c r="E41" s="24">
        <f>D41/B41</f>
        <v/>
      </c>
    </row>
    <row r="42">
      <c r="A42" s="6" t="inlineStr">
        <is>
          <t>A-POSH Internal Committee training, 1 day, outstation</t>
        </is>
      </c>
      <c r="B42" s="7">
        <f>'1 Assumptions'!$C$18</f>
        <v/>
      </c>
      <c r="C42" s="7">
        <f>'1 Assumptions'!$D$29+25*'1 Assumptions'!$D$32+'1 Assumptions'!$D$34</f>
        <v/>
      </c>
      <c r="D42" s="7">
        <f>B42-C42</f>
        <v/>
      </c>
      <c r="E42" s="23">
        <f>D42/B42</f>
        <v/>
      </c>
    </row>
    <row r="43">
      <c r="A43" s="8" t="inlineStr">
        <is>
          <t>COACH-NAT coaching, national, per team</t>
        </is>
      </c>
      <c r="B43" s="9">
        <f>'1 Assumptions'!$C$23</f>
        <v/>
      </c>
      <c r="C43" s="9">
        <f>6*3*'1 Assumptions'!$D$40+2*'1 Assumptions'!$D$39+5000+10000</f>
        <v/>
      </c>
      <c r="D43" s="9">
        <f>B43-C43</f>
        <v/>
      </c>
      <c r="E43" s="24">
        <f>D43/B43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Partnership profit and loss by tier</t>
        </is>
      </c>
    </row>
    <row r="3">
      <c r="A3" s="3" t="inlineStr">
        <is>
          <t>Steady state, year 2 onward. Change activity counts in column B to model a specific institution.</t>
        </is>
      </c>
    </row>
    <row r="6">
      <c r="A6" s="4" t="inlineStr">
        <is>
          <t>TIER 1 ANCHOR</t>
        </is>
      </c>
    </row>
    <row r="7" ht="28" customHeight="1">
      <c r="A7" s="5" t="inlineStr">
        <is>
          <t>Activity</t>
        </is>
      </c>
      <c r="B7" s="5" t="inlineStr">
        <is>
          <t>Number</t>
        </is>
      </c>
      <c r="C7" s="5" t="inlineStr">
        <is>
          <t>Revenue each</t>
        </is>
      </c>
      <c r="D7" s="5" t="inlineStr">
        <is>
          <t>Contribution each</t>
        </is>
      </c>
      <c r="E7" s="5" t="inlineStr">
        <is>
          <t>Total revenue</t>
        </is>
      </c>
      <c r="F7" s="5" t="inlineStr">
        <is>
          <t>Total contribution</t>
        </is>
      </c>
    </row>
    <row r="8">
      <c r="A8" s="6" t="inlineStr">
        <is>
          <t>T-40-S cohorts of 40, local bench</t>
        </is>
      </c>
      <c r="B8" s="6" t="n">
        <v>2</v>
      </c>
      <c r="C8" s="7" t="n">
        <v>266000</v>
      </c>
      <c r="D8" s="7" t="n">
        <v>79200</v>
      </c>
      <c r="E8" s="7">
        <f>B8*C8</f>
        <v/>
      </c>
      <c r="F8" s="7">
        <f>B8*D8</f>
        <v/>
      </c>
    </row>
    <row r="9">
      <c r="A9" s="8" t="inlineStr">
        <is>
          <t>T-20-S cohort of 24</t>
        </is>
      </c>
      <c r="B9" s="8" t="n">
        <v>1</v>
      </c>
      <c r="C9" s="9" t="n">
        <v>92400</v>
      </c>
      <c r="D9" s="9" t="n">
        <v>22400</v>
      </c>
      <c r="E9" s="9">
        <f>B9*C9</f>
        <v/>
      </c>
      <c r="F9" s="9">
        <f>B9*D9</f>
        <v/>
      </c>
    </row>
    <row r="10">
      <c r="A10" s="6" t="inlineStr">
        <is>
          <t>Faculty Development Programme</t>
        </is>
      </c>
      <c r="B10" s="6" t="n">
        <v>1</v>
      </c>
      <c r="C10" s="7" t="n">
        <v>350000</v>
      </c>
      <c r="D10" s="7" t="n">
        <v>121900</v>
      </c>
      <c r="E10" s="7">
        <f>B10*C10</f>
        <v/>
      </c>
      <c r="F10" s="7">
        <f>B10*D10</f>
        <v/>
      </c>
    </row>
    <row r="11">
      <c r="A11" s="8" t="inlineStr">
        <is>
          <t>Institutional workshops, full day</t>
        </is>
      </c>
      <c r="B11" s="8" t="n">
        <v>4</v>
      </c>
      <c r="C11" s="9" t="n">
        <v>65000</v>
      </c>
      <c r="D11" s="9" t="n">
        <v>37000</v>
      </c>
      <c r="E11" s="9">
        <f>B11*C11</f>
        <v/>
      </c>
      <c r="F11" s="9">
        <f>B11*D11</f>
        <v/>
      </c>
    </row>
    <row r="12">
      <c r="A12" s="6" t="inlineStr">
        <is>
          <t>Coaching, international teams</t>
        </is>
      </c>
      <c r="B12" s="6" t="n">
        <v>2</v>
      </c>
      <c r="C12" s="7" t="n">
        <v>225000</v>
      </c>
      <c r="D12" s="7" t="n">
        <v>130000</v>
      </c>
      <c r="E12" s="7">
        <f>B12*C12</f>
        <v/>
      </c>
      <c r="F12" s="7">
        <f>B12*D12</f>
        <v/>
      </c>
    </row>
    <row r="13">
      <c r="A13" s="8" t="inlineStr">
        <is>
          <t>Advisory retainer, comprehensive</t>
        </is>
      </c>
      <c r="B13" s="8" t="n">
        <v>1</v>
      </c>
      <c r="C13" s="9" t="n">
        <v>360000</v>
      </c>
      <c r="D13" s="9" t="n">
        <v>114000</v>
      </c>
      <c r="E13" s="9">
        <f>B13*C13</f>
        <v/>
      </c>
      <c r="F13" s="9">
        <f>B13*D13</f>
        <v/>
      </c>
    </row>
    <row r="14">
      <c r="A14" s="6" t="inlineStr">
        <is>
          <t>Residential summer school, Equator 60% share</t>
        </is>
      </c>
      <c r="B14" s="6" t="n">
        <v>1</v>
      </c>
      <c r="C14" s="7" t="n">
        <v>396000</v>
      </c>
      <c r="D14" s="7" t="n">
        <v>136000</v>
      </c>
      <c r="E14" s="7">
        <f>B14*C14</f>
        <v/>
      </c>
      <c r="F14" s="7">
        <f>B14*D14</f>
        <v/>
      </c>
    </row>
    <row r="15">
      <c r="A15" s="8" t="inlineStr">
        <is>
          <t>Competition hosted, cost-shared</t>
        </is>
      </c>
      <c r="B15" s="8" t="n">
        <v>1</v>
      </c>
      <c r="C15" s="9" t="n">
        <v>0</v>
      </c>
      <c r="D15" s="9" t="n">
        <v>0</v>
      </c>
      <c r="E15" s="9">
        <f>B15*C15</f>
        <v/>
      </c>
      <c r="F15" s="9">
        <f>B15*D15</f>
        <v/>
      </c>
    </row>
    <row r="16">
      <c r="A16" s="16" t="inlineStr">
        <is>
          <t>Total</t>
        </is>
      </c>
      <c r="E16" s="20">
        <f>SUM(E8:E15)</f>
        <v/>
      </c>
      <c r="F16" s="20">
        <f>SUM(F8:F15)</f>
        <v/>
      </c>
    </row>
    <row r="17">
      <c r="A17" s="16" t="inlineStr">
        <is>
          <t>Contribution margin</t>
        </is>
      </c>
      <c r="F17" s="23">
        <f>F16/E16</f>
        <v/>
      </c>
    </row>
    <row r="18">
      <c r="A18" s="6" t="inlineStr">
        <is>
          <t>Less allocated partnership management</t>
        </is>
      </c>
      <c r="F18" s="7" t="n">
        <v>-350000</v>
      </c>
    </row>
    <row r="19">
      <c r="A19" s="12" t="inlineStr">
        <is>
          <t>NET CONTRIBUTION</t>
        </is>
      </c>
      <c r="F19" s="13">
        <f>F16+F18</f>
        <v/>
      </c>
    </row>
    <row r="21">
      <c r="A21" s="4" t="inlineStr">
        <is>
          <t>TIER 2 PROGRAMME</t>
        </is>
      </c>
    </row>
    <row r="22" ht="28" customHeight="1">
      <c r="A22" s="5" t="inlineStr">
        <is>
          <t>Activity</t>
        </is>
      </c>
      <c r="B22" s="5" t="inlineStr">
        <is>
          <t>Number</t>
        </is>
      </c>
      <c r="C22" s="5" t="inlineStr">
        <is>
          <t>Revenue each</t>
        </is>
      </c>
      <c r="D22" s="5" t="inlineStr">
        <is>
          <t>Contribution each</t>
        </is>
      </c>
      <c r="E22" s="5" t="inlineStr">
        <is>
          <t>Total revenue</t>
        </is>
      </c>
      <c r="F22" s="5" t="inlineStr">
        <is>
          <t>Total contribution</t>
        </is>
      </c>
    </row>
    <row r="23">
      <c r="A23" s="6" t="inlineStr">
        <is>
          <t>T-40-S cohort of 40, local bench</t>
        </is>
      </c>
      <c r="B23" s="6" t="n">
        <v>1</v>
      </c>
      <c r="C23" s="7" t="n">
        <v>266000</v>
      </c>
      <c r="D23" s="7" t="n">
        <v>79200</v>
      </c>
      <c r="E23" s="7">
        <f>B23*C23</f>
        <v/>
      </c>
      <c r="F23" s="7">
        <f>B23*D23</f>
        <v/>
      </c>
    </row>
    <row r="24">
      <c r="A24" s="8" t="inlineStr">
        <is>
          <t>Faculty Development Programme, biennial</t>
        </is>
      </c>
      <c r="B24" s="8" t="n">
        <v>0.5</v>
      </c>
      <c r="C24" s="9" t="n">
        <v>350000</v>
      </c>
      <c r="D24" s="9" t="n">
        <v>121900</v>
      </c>
      <c r="E24" s="9">
        <f>B24*C24</f>
        <v/>
      </c>
      <c r="F24" s="9">
        <f>B24*D24</f>
        <v/>
      </c>
    </row>
    <row r="25">
      <c r="A25" s="6" t="inlineStr">
        <is>
          <t>Institutional workshops, full day</t>
        </is>
      </c>
      <c r="B25" s="6" t="n">
        <v>2</v>
      </c>
      <c r="C25" s="7" t="n">
        <v>65000</v>
      </c>
      <c r="D25" s="7" t="n">
        <v>37000</v>
      </c>
      <c r="E25" s="7">
        <f>B25*C25</f>
        <v/>
      </c>
      <c r="F25" s="7">
        <f>B25*D25</f>
        <v/>
      </c>
    </row>
    <row r="26">
      <c r="A26" s="8" t="inlineStr">
        <is>
          <t>Advisory retainer, standard</t>
        </is>
      </c>
      <c r="B26" s="8" t="n">
        <v>1</v>
      </c>
      <c r="C26" s="9" t="n">
        <v>180000</v>
      </c>
      <c r="D26" s="9" t="n">
        <v>52000</v>
      </c>
      <c r="E26" s="9">
        <f>B26*C26</f>
        <v/>
      </c>
      <c r="F26" s="9">
        <f>B26*D26</f>
        <v/>
      </c>
    </row>
    <row r="27">
      <c r="A27" s="6" t="inlineStr">
        <is>
          <t>Coaching, national team</t>
        </is>
      </c>
      <c r="B27" s="6" t="n">
        <v>1</v>
      </c>
      <c r="C27" s="7" t="n">
        <v>110000</v>
      </c>
      <c r="D27" s="7" t="n">
        <v>60000</v>
      </c>
      <c r="E27" s="7">
        <f>B27*C27</f>
        <v/>
      </c>
      <c r="F27" s="7">
        <f>B27*D27</f>
        <v/>
      </c>
    </row>
    <row r="28">
      <c r="A28" s="8" t="inlineStr">
        <is>
          <t>Regional competition round, cost-shared</t>
        </is>
      </c>
      <c r="B28" s="8" t="n">
        <v>1</v>
      </c>
      <c r="C28" s="9" t="n">
        <v>0</v>
      </c>
      <c r="D28" s="9" t="n">
        <v>0</v>
      </c>
      <c r="E28" s="9">
        <f>B28*C28</f>
        <v/>
      </c>
      <c r="F28" s="9">
        <f>B28*D28</f>
        <v/>
      </c>
    </row>
    <row r="29">
      <c r="A29" s="16" t="inlineStr">
        <is>
          <t>Total</t>
        </is>
      </c>
      <c r="E29" s="20">
        <f>SUM(E23:E28)</f>
        <v/>
      </c>
      <c r="F29" s="20">
        <f>SUM(F23:F28)</f>
        <v/>
      </c>
    </row>
    <row r="30">
      <c r="A30" s="16" t="inlineStr">
        <is>
          <t>Contribution margin</t>
        </is>
      </c>
      <c r="F30" s="23">
        <f>F29/E29</f>
        <v/>
      </c>
    </row>
    <row r="31">
      <c r="A31" s="6" t="inlineStr">
        <is>
          <t>Less allocated partnership management</t>
        </is>
      </c>
      <c r="F31" s="7" t="n">
        <v>-120000</v>
      </c>
    </row>
    <row r="32">
      <c r="A32" s="12" t="inlineStr">
        <is>
          <t>NET CONTRIBUTION</t>
        </is>
      </c>
      <c r="F32" s="13">
        <f>F29+F31</f>
        <v/>
      </c>
    </row>
    <row r="34">
      <c r="A34" s="4" t="inlineStr">
        <is>
          <t>TIER 3 ASSOCIATE</t>
        </is>
      </c>
    </row>
    <row r="35" ht="28" customHeight="1">
      <c r="A35" s="5" t="inlineStr">
        <is>
          <t>Activity</t>
        </is>
      </c>
      <c r="B35" s="5" t="inlineStr">
        <is>
          <t>Number</t>
        </is>
      </c>
      <c r="C35" s="5" t="inlineStr">
        <is>
          <t>Revenue each</t>
        </is>
      </c>
      <c r="D35" s="5" t="inlineStr">
        <is>
          <t>Contribution each</t>
        </is>
      </c>
      <c r="E35" s="5" t="inlineStr">
        <is>
          <t>Total revenue</t>
        </is>
      </c>
      <c r="F35" s="5" t="inlineStr">
        <is>
          <t>Total contribution</t>
        </is>
      </c>
    </row>
    <row r="36">
      <c r="A36" s="6" t="inlineStr">
        <is>
          <t>Competition entries</t>
        </is>
      </c>
      <c r="B36" s="6" t="n">
        <v>3</v>
      </c>
      <c r="C36" s="7" t="n">
        <v>7500</v>
      </c>
      <c r="D36" s="7" t="n">
        <v>4000</v>
      </c>
      <c r="E36" s="7">
        <f>B36*C36</f>
        <v/>
      </c>
      <c r="F36" s="7">
        <f>B36*D36</f>
        <v/>
      </c>
    </row>
    <row r="37">
      <c r="A37" s="8" t="inlineStr">
        <is>
          <t>Occasional workshop</t>
        </is>
      </c>
      <c r="B37" s="8" t="n">
        <v>1</v>
      </c>
      <c r="C37" s="9" t="n">
        <v>65000</v>
      </c>
      <c r="D37" s="9" t="n">
        <v>37000</v>
      </c>
      <c r="E37" s="9">
        <f>B37*C37</f>
        <v/>
      </c>
      <c r="F37" s="9">
        <f>B37*D37</f>
        <v/>
      </c>
    </row>
    <row r="38">
      <c r="A38" s="6" t="inlineStr">
        <is>
          <t>Guest lecture and webinars, free</t>
        </is>
      </c>
      <c r="B38" s="6" t="n">
        <v>1</v>
      </c>
      <c r="C38" s="7" t="n">
        <v>0</v>
      </c>
      <c r="D38" s="7" t="n">
        <v>-18000</v>
      </c>
      <c r="E38" s="7">
        <f>B38*C38</f>
        <v/>
      </c>
      <c r="F38" s="7">
        <f>B38*D38</f>
        <v/>
      </c>
    </row>
    <row r="39">
      <c r="A39" s="16" t="inlineStr">
        <is>
          <t>Total</t>
        </is>
      </c>
      <c r="E39" s="20">
        <f>SUM(E36:E38)</f>
        <v/>
      </c>
      <c r="F39" s="20">
        <f>SUM(F36:F38)</f>
        <v/>
      </c>
    </row>
    <row r="40">
      <c r="A40" s="16" t="inlineStr">
        <is>
          <t>Contribution margin</t>
        </is>
      </c>
      <c r="F40" s="23">
        <f>F39/E39</f>
        <v/>
      </c>
    </row>
    <row r="41">
      <c r="A41" s="6" t="inlineStr">
        <is>
          <t>Less allocated partnership management</t>
        </is>
      </c>
      <c r="F41" s="7" t="n">
        <v>-25000</v>
      </c>
    </row>
    <row r="42">
      <c r="A42" s="12" t="inlineStr">
        <is>
          <t>NET CONTRIBUTION</t>
        </is>
      </c>
      <c r="F42" s="13">
        <f>F39+F41</f>
        <v/>
      </c>
    </row>
    <row r="44">
      <c r="A44" s="4" t="inlineStr">
        <is>
          <t>Payback on acquisition cost</t>
        </is>
      </c>
    </row>
    <row r="45" ht="28" customHeight="1">
      <c r="A45" s="5" t="inlineStr">
        <is>
          <t>Measure</t>
        </is>
      </c>
      <c r="B45" s="5" t="inlineStr">
        <is>
          <t>Tier 1</t>
        </is>
      </c>
      <c r="C45" s="5" t="inlineStr">
        <is>
          <t>Tier 2</t>
        </is>
      </c>
      <c r="D45" s="5" t="inlineStr">
        <is>
          <t>Tier 3</t>
        </is>
      </c>
    </row>
    <row r="46">
      <c r="A46" s="6" t="inlineStr">
        <is>
          <t>Steady-state net contribution</t>
        </is>
      </c>
      <c r="B46" s="7">
        <f>F19</f>
        <v/>
      </c>
      <c r="C46" s="7">
        <f>F32</f>
        <v/>
      </c>
      <c r="D46" s="7">
        <f>F42</f>
        <v/>
      </c>
    </row>
    <row r="47">
      <c r="A47" s="6" t="inlineStr">
        <is>
          <t>Acquisition cost</t>
        </is>
      </c>
      <c r="B47" s="7">
        <f>'1 Assumptions'!B$59</f>
        <v/>
      </c>
      <c r="C47" s="7">
        <f>'1 Assumptions'!C$59</f>
        <v/>
      </c>
      <c r="D47" s="7">
        <f>'1 Assumptions'!D$59</f>
        <v/>
      </c>
    </row>
    <row r="48">
      <c r="A48" s="6" t="inlineStr">
        <is>
          <t>Year 1 net contribution, at 55% of steady state</t>
        </is>
      </c>
      <c r="B48" s="7">
        <f>0.55*B46</f>
        <v/>
      </c>
      <c r="C48" s="7">
        <f>0.55*C46</f>
        <v/>
      </c>
      <c r="D48" s="7">
        <f>0.55*D46</f>
        <v/>
      </c>
    </row>
    <row r="49">
      <c r="A49" s="6" t="inlineStr">
        <is>
          <t>Year 2 net contribution, at 85% of steady state</t>
        </is>
      </c>
      <c r="B49" s="7">
        <f>0.85*B46</f>
        <v/>
      </c>
      <c r="C49" s="7">
        <f>0.85*C46</f>
        <v/>
      </c>
      <c r="D49" s="7">
        <f>0.85*D46</f>
        <v/>
      </c>
    </row>
    <row r="50">
      <c r="A50" s="6" t="inlineStr">
        <is>
          <t>Year 3 net contribution, at steady state</t>
        </is>
      </c>
      <c r="B50" s="7">
        <f>B46</f>
        <v/>
      </c>
      <c r="C50" s="7">
        <f>C46</f>
        <v/>
      </c>
      <c r="D50" s="7">
        <f>D46</f>
        <v/>
      </c>
    </row>
    <row r="51">
      <c r="A51" s="16" t="inlineStr">
        <is>
          <t>Three-year cumulative net contribution</t>
        </is>
      </c>
      <c r="B51" s="20">
        <f>SUM(B48:B50)</f>
        <v/>
      </c>
      <c r="C51" s="20">
        <f>SUM(C48:C50)</f>
        <v/>
      </c>
      <c r="D51" s="20">
        <f>SUM(D48:D50)</f>
        <v/>
      </c>
    </row>
    <row r="52">
      <c r="A52" s="12" t="inlineStr">
        <is>
          <t>Return on acquisition cost over three years</t>
        </is>
      </c>
      <c r="B52" s="25">
        <f>B51/B47</f>
        <v/>
      </c>
      <c r="C52" s="25">
        <f>C51/C47</f>
        <v/>
      </c>
      <c r="D52" s="25">
        <f>D51/D47</f>
        <v/>
      </c>
    </row>
    <row r="53">
      <c r="A53" s="12" t="inlineStr">
        <is>
          <t>Payback achieved in</t>
        </is>
      </c>
      <c r="B53" s="12">
        <f>IF(B48&gt;=B47,"Year 1",IF(B48+B49&gt;=B47,"Year 2",IF(B51&gt;=B47,"Year 3","Beyond year 3")))</f>
        <v/>
      </c>
      <c r="C53" s="12">
        <f>IF(C48&gt;=C47,"Year 1",IF(C48+C49&gt;=C47,"Year 2",IF(C51&gt;=C47,"Year 3","Beyond year 3")))</f>
        <v/>
      </c>
      <c r="D53" s="12">
        <f>IF(D48&gt;=D47,"Year 1",IF(D48+D49&gt;=D47,"Year 2",IF(D51&gt;=D47,"Year 3","Beyond year 3")))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Competition financial model</t>
        </is>
      </c>
    </row>
    <row r="3">
      <c r="A3" s="3" t="inlineStr">
        <is>
          <t>Edition 1 is expected to make a loss. Budget it as a marketing investment with a defined ceiling.</t>
        </is>
      </c>
    </row>
    <row r="6" ht="28" customHeight="1">
      <c r="A6" s="5" t="inlineStr">
        <is>
          <t>Line</t>
        </is>
      </c>
      <c r="B6" s="5" t="inlineStr">
        <is>
          <t>Edition 1</t>
        </is>
      </c>
      <c r="C6" s="5" t="inlineStr">
        <is>
          <t>Edition 2</t>
        </is>
      </c>
      <c r="D6" s="5" t="inlineStr">
        <is>
          <t>Edition 3</t>
        </is>
      </c>
    </row>
    <row r="7">
      <c r="A7" s="6" t="inlineStr">
        <is>
          <t>Team registrations, number</t>
        </is>
      </c>
      <c r="B7" s="6" t="n">
        <v>40</v>
      </c>
      <c r="C7" s="6" t="n">
        <v>52</v>
      </c>
      <c r="D7" s="6" t="n">
        <v>64</v>
      </c>
    </row>
    <row r="8">
      <c r="A8" s="8" t="inlineStr">
        <is>
          <t>Registration fee per team</t>
        </is>
      </c>
      <c r="B8" s="9" t="n">
        <v>7500</v>
      </c>
      <c r="C8" s="9" t="n">
        <v>8000</v>
      </c>
      <c r="D8" s="9" t="n">
        <v>8500</v>
      </c>
    </row>
    <row r="9">
      <c r="A9" s="6" t="inlineStr">
        <is>
          <t>Registration income</t>
        </is>
      </c>
      <c r="B9" s="7">
        <f>B7*B8</f>
        <v/>
      </c>
      <c r="C9" s="7">
        <f>C7*C8</f>
        <v/>
      </c>
      <c r="D9" s="7">
        <f>D7*D8</f>
        <v/>
      </c>
    </row>
    <row r="10">
      <c r="A10" s="8" t="inlineStr">
        <is>
          <t>Title sponsorship</t>
        </is>
      </c>
      <c r="B10" s="9" t="n">
        <v>400000</v>
      </c>
      <c r="C10" s="9" t="n">
        <v>700000</v>
      </c>
      <c r="D10" s="9" t="n">
        <v>1200000</v>
      </c>
    </row>
    <row r="11">
      <c r="A11" s="6" t="inlineStr">
        <is>
          <t>Associate sponsorship</t>
        </is>
      </c>
      <c r="B11" s="7" t="n">
        <v>300000</v>
      </c>
      <c r="C11" s="7" t="n">
        <v>700000</v>
      </c>
      <c r="D11" s="7" t="n">
        <v>1400000</v>
      </c>
    </row>
    <row r="12">
      <c r="A12" s="8" t="inlineStr">
        <is>
          <t>Round sponsorship</t>
        </is>
      </c>
      <c r="B12" s="9" t="n">
        <v>150000</v>
      </c>
      <c r="C12" s="9" t="n">
        <v>400000</v>
      </c>
      <c r="D12" s="9" t="n">
        <v>750000</v>
      </c>
    </row>
    <row r="13">
      <c r="A13" s="6" t="inlineStr">
        <is>
          <t>Award and hospitality sponsorship</t>
        </is>
      </c>
      <c r="B13" s="7" t="n">
        <v>0</v>
      </c>
      <c r="C13" s="7" t="n">
        <v>150000</v>
      </c>
      <c r="D13" s="7" t="n">
        <v>450000</v>
      </c>
    </row>
    <row r="14">
      <c r="A14" s="8" t="inlineStr">
        <is>
          <t>Delegate passes</t>
        </is>
      </c>
      <c r="B14" s="9" t="n">
        <v>0</v>
      </c>
      <c r="C14" s="9" t="n">
        <v>50000</v>
      </c>
      <c r="D14" s="9" t="n">
        <v>100000</v>
      </c>
    </row>
    <row r="15">
      <c r="A15" s="26" t="inlineStr">
        <is>
          <t>TOTAL INCOME</t>
        </is>
      </c>
      <c r="B15" s="17">
        <f>B9+SUM(B10:B14)</f>
        <v/>
      </c>
      <c r="C15" s="17">
        <f>C9+SUM(C10:C14)</f>
        <v/>
      </c>
      <c r="D15" s="17">
        <f>D9+SUM(D10:D14)</f>
        <v/>
      </c>
    </row>
    <row r="16">
      <c r="A16" s="16" t="inlineStr">
        <is>
          <t>Expenditure</t>
        </is>
      </c>
    </row>
    <row r="17">
      <c r="A17" s="6" t="inlineStr">
        <is>
          <t>Problem development</t>
        </is>
      </c>
      <c r="B17" s="7" t="n">
        <v>120000</v>
      </c>
      <c r="C17" s="7" t="n">
        <v>130000</v>
      </c>
      <c r="D17" s="7" t="n">
        <v>140000</v>
      </c>
    </row>
    <row r="18">
      <c r="A18" s="8" t="inlineStr">
        <is>
          <t>Judge honoraria</t>
        </is>
      </c>
      <c r="B18" s="9" t="n">
        <v>150000</v>
      </c>
      <c r="C18" s="9" t="n">
        <v>190000</v>
      </c>
      <c r="D18" s="9" t="n">
        <v>240000</v>
      </c>
    </row>
    <row r="19">
      <c r="A19" s="6" t="inlineStr">
        <is>
          <t>Judge travel and hospitality</t>
        </is>
      </c>
      <c r="B19" s="7" t="n">
        <v>200000</v>
      </c>
      <c r="C19" s="7" t="n">
        <v>260000</v>
      </c>
      <c r="D19" s="7" t="n">
        <v>330000</v>
      </c>
    </row>
    <row r="20">
      <c r="A20" s="8" t="inlineStr">
        <is>
          <t>Prize money</t>
        </is>
      </c>
      <c r="B20" s="9" t="n">
        <v>150000</v>
      </c>
      <c r="C20" s="9" t="n">
        <v>250000</v>
      </c>
      <c r="D20" s="9" t="n">
        <v>400000</v>
      </c>
    </row>
    <row r="21">
      <c r="A21" s="6" t="inlineStr">
        <is>
          <t>Trophies, certificates, medals</t>
        </is>
      </c>
      <c r="B21" s="7" t="n">
        <v>60000</v>
      </c>
      <c r="C21" s="7" t="n">
        <v>80000</v>
      </c>
      <c r="D21" s="7" t="n">
        <v>100000</v>
      </c>
    </row>
    <row r="22">
      <c r="A22" s="8" t="inlineStr">
        <is>
          <t>Participant materials</t>
        </is>
      </c>
      <c r="B22" s="9" t="n">
        <v>40000</v>
      </c>
      <c r="C22" s="9" t="n">
        <v>55000</v>
      </c>
      <c r="D22" s="9" t="n">
        <v>70000</v>
      </c>
    </row>
    <row r="23">
      <c r="A23" s="6" t="inlineStr">
        <is>
          <t>Branding, production, signage</t>
        </is>
      </c>
      <c r="B23" s="7" t="n">
        <v>180000</v>
      </c>
      <c r="C23" s="7" t="n">
        <v>220000</v>
      </c>
      <c r="D23" s="7" t="n">
        <v>280000</v>
      </c>
    </row>
    <row r="24">
      <c r="A24" s="8" t="inlineStr">
        <is>
          <t>Photography and video</t>
        </is>
      </c>
      <c r="B24" s="9" t="n">
        <v>75000</v>
      </c>
      <c r="C24" s="9" t="n">
        <v>90000</v>
      </c>
      <c r="D24" s="9" t="n">
        <v>110000</v>
      </c>
    </row>
    <row r="25">
      <c r="A25" s="6" t="inlineStr">
        <is>
          <t>Hospitality, venue supplied by host</t>
        </is>
      </c>
      <c r="B25" s="7" t="n">
        <v>120000</v>
      </c>
      <c r="C25" s="7" t="n">
        <v>170000</v>
      </c>
      <c r="D25" s="7" t="n">
        <v>230000</v>
      </c>
    </row>
    <row r="26">
      <c r="A26" s="8" t="inlineStr">
        <is>
          <t>Staff and programme management</t>
        </is>
      </c>
      <c r="B26" s="9" t="n">
        <v>150000</v>
      </c>
      <c r="C26" s="9" t="n">
        <v>180000</v>
      </c>
      <c r="D26" s="9" t="n">
        <v>220000</v>
      </c>
    </row>
    <row r="27">
      <c r="A27" s="6" t="inlineStr">
        <is>
          <t>Contingency at 10%</t>
        </is>
      </c>
      <c r="B27" s="7">
        <f>0.1*SUM(B17:B26)</f>
        <v/>
      </c>
      <c r="C27" s="7">
        <f>0.1*SUM(C17:C26)</f>
        <v/>
      </c>
      <c r="D27" s="7">
        <f>0.1*SUM(D17:D26)</f>
        <v/>
      </c>
    </row>
    <row r="28">
      <c r="A28" s="26" t="inlineStr">
        <is>
          <t>TOTAL EXPENDITURE</t>
        </is>
      </c>
      <c r="B28" s="17">
        <f>SUM(B17:B27)</f>
        <v/>
      </c>
      <c r="C28" s="17">
        <f>SUM(C17:C27)</f>
        <v/>
      </c>
      <c r="D28" s="17">
        <f>SUM(D17:D27)</f>
        <v/>
      </c>
    </row>
    <row r="29">
      <c r="A29" s="12" t="inlineStr">
        <is>
          <t>OUTTURN</t>
        </is>
      </c>
      <c r="B29" s="13">
        <f>B15-B28</f>
        <v/>
      </c>
      <c r="C29" s="13">
        <f>C15-C28</f>
        <v/>
      </c>
      <c r="D29" s="13">
        <f>D15-D28</f>
        <v/>
      </c>
    </row>
    <row r="31">
      <c r="A31" s="18" t="inlineStr">
        <is>
          <t>Rule: do not launch an edition without the title sponsor and one associate contracted in writing.</t>
        </is>
      </c>
    </row>
    <row r="32">
      <c r="A32" s="18" t="inlineStr">
        <is>
          <t>Rule: edition 1 loss ceiling is INR 2,50,000. Beyond that, reduce scope rather than proceed.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Three-year portfolio</t>
        </is>
      </c>
    </row>
    <row r="3">
      <c r="A3" s="3" t="inlineStr">
        <is>
          <t>Planning figures for target-setting, not forecasts. Re-base after the first full delivery cycle.</t>
        </is>
      </c>
    </row>
    <row r="6" ht="28" customHeight="1">
      <c r="A6" s="5" t="inlineStr">
        <is>
          <t>Measure</t>
        </is>
      </c>
      <c r="B6" s="5" t="inlineStr">
        <is>
          <t>Year 1</t>
        </is>
      </c>
      <c r="C6" s="5" t="inlineStr">
        <is>
          <t>Year 2</t>
        </is>
      </c>
      <c r="D6" s="5" t="inlineStr">
        <is>
          <t>Year 3</t>
        </is>
      </c>
    </row>
    <row r="7">
      <c r="A7" s="6" t="inlineStr">
        <is>
          <t>Tier 1 partnerships</t>
        </is>
      </c>
      <c r="B7" s="6" t="n">
        <v>2</v>
      </c>
      <c r="C7" s="6" t="n">
        <v>3</v>
      </c>
      <c r="D7" s="6" t="n">
        <v>5</v>
      </c>
    </row>
    <row r="8">
      <c r="A8" s="8" t="inlineStr">
        <is>
          <t>Tier 2 partnerships</t>
        </is>
      </c>
      <c r="B8" s="8" t="n">
        <v>4</v>
      </c>
      <c r="C8" s="8" t="n">
        <v>12</v>
      </c>
      <c r="D8" s="8" t="n">
        <v>18</v>
      </c>
    </row>
    <row r="9">
      <c r="A9" s="6" t="inlineStr">
        <is>
          <t>Tier 3 partnerships</t>
        </is>
      </c>
      <c r="B9" s="6" t="n">
        <v>6</v>
      </c>
      <c r="C9" s="6" t="n">
        <v>20</v>
      </c>
      <c r="D9" s="6" t="n">
        <v>45</v>
      </c>
    </row>
    <row r="10">
      <c r="A10" s="8" t="inlineStr">
        <is>
          <t>Students trained</t>
        </is>
      </c>
      <c r="B10" s="8" t="n">
        <v>250</v>
      </c>
      <c r="C10" s="8" t="n">
        <v>900</v>
      </c>
      <c r="D10" s="8" t="n">
        <v>2000</v>
      </c>
    </row>
    <row r="11">
      <c r="A11" s="6" t="inlineStr">
        <is>
          <t>Faculty trained</t>
        </is>
      </c>
      <c r="B11" s="6" t="n">
        <v>40</v>
      </c>
      <c r="C11" s="6" t="n">
        <v>120</v>
      </c>
      <c r="D11" s="6" t="n">
        <v>250</v>
      </c>
    </row>
    <row r="12">
      <c r="A12" s="8" t="inlineStr">
        <is>
          <t>Interns hosted</t>
        </is>
      </c>
      <c r="B12" s="8" t="n">
        <v>24</v>
      </c>
      <c r="C12" s="8" t="n">
        <v>70</v>
      </c>
      <c r="D12" s="8" t="n">
        <v>140</v>
      </c>
    </row>
    <row r="13">
      <c r="A13" s="6" t="inlineStr">
        <is>
          <t>Interns converted</t>
        </is>
      </c>
      <c r="B13" s="6" t="n">
        <v>2</v>
      </c>
      <c r="C13" s="6" t="n">
        <v>8</v>
      </c>
      <c r="D13" s="6" t="n">
        <v>20</v>
      </c>
    </row>
    <row r="14">
      <c r="A14" s="8" t="inlineStr">
        <is>
          <t>Certified trainers on the bench</t>
        </is>
      </c>
      <c r="B14" s="8" t="n">
        <v>12</v>
      </c>
      <c r="C14" s="8" t="n">
        <v>22</v>
      </c>
      <c r="D14" s="8" t="n">
        <v>35</v>
      </c>
    </row>
    <row r="15">
      <c r="A15" s="6" t="inlineStr">
        <is>
          <t>Advisory retainers active</t>
        </is>
      </c>
      <c r="B15" s="6" t="n">
        <v>2</v>
      </c>
      <c r="C15" s="6" t="n">
        <v>10</v>
      </c>
      <c r="D15" s="6" t="n">
        <v>22</v>
      </c>
    </row>
    <row r="16">
      <c r="A16" s="8" t="inlineStr">
        <is>
          <t>Coaching engagements</t>
        </is>
      </c>
      <c r="B16" s="8" t="n">
        <v>3</v>
      </c>
      <c r="C16" s="8" t="n">
        <v>12</v>
      </c>
      <c r="D16" s="8" t="n">
        <v>26</v>
      </c>
    </row>
    <row r="17">
      <c r="A17" s="6" t="inlineStr">
        <is>
          <t>Programme revenue</t>
        </is>
      </c>
      <c r="B17" s="7" t="n">
        <v>3800000</v>
      </c>
      <c r="C17" s="7" t="n">
        <v>15200000</v>
      </c>
      <c r="D17" s="7" t="n">
        <v>30500000</v>
      </c>
    </row>
    <row r="18">
      <c r="A18" s="8" t="inlineStr">
        <is>
          <t>Competition net result</t>
        </is>
      </c>
      <c r="B18" s="9" t="n">
        <v>-220000</v>
      </c>
      <c r="C18" s="9" t="n">
        <v>110000</v>
      </c>
      <c r="D18" s="9" t="n">
        <v>654000</v>
      </c>
    </row>
    <row r="19">
      <c r="A19" s="16" t="inlineStr">
        <is>
          <t>Total revenue</t>
        </is>
      </c>
      <c r="B19" s="20">
        <f>B17+B18</f>
        <v/>
      </c>
      <c r="C19" s="20">
        <f>C17+C18</f>
        <v/>
      </c>
      <c r="D19" s="20">
        <f>D17+D18</f>
        <v/>
      </c>
    </row>
    <row r="20">
      <c r="A20" s="6" t="inlineStr">
        <is>
          <t>Blended contribution margin</t>
        </is>
      </c>
      <c r="B20" s="10" t="n">
        <v>0.3</v>
      </c>
      <c r="C20" s="10" t="n">
        <v>0.34</v>
      </c>
      <c r="D20" s="10" t="n">
        <v>0.36</v>
      </c>
    </row>
    <row r="21">
      <c r="A21" s="6" t="inlineStr">
        <is>
          <t>Contribution</t>
        </is>
      </c>
      <c r="B21" s="7">
        <f>B19*B20</f>
        <v/>
      </c>
      <c r="C21" s="7">
        <f>C19*C20</f>
        <v/>
      </c>
      <c r="D21" s="7">
        <f>D19*D20</f>
        <v/>
      </c>
    </row>
    <row r="22">
      <c r="A22" s="6" t="inlineStr">
        <is>
          <t>Programme fixed cost</t>
        </is>
      </c>
      <c r="B22" s="7" t="n">
        <v>-4200000</v>
      </c>
      <c r="C22" s="7" t="n">
        <v>-5800000</v>
      </c>
      <c r="D22" s="7" t="n">
        <v>-7400000</v>
      </c>
    </row>
    <row r="23">
      <c r="A23" s="12" t="inlineStr">
        <is>
          <t>PROGRAMME RESULT</t>
        </is>
      </c>
      <c r="B23" s="13">
        <f>B21+B22</f>
        <v/>
      </c>
      <c r="C23" s="13">
        <f>C21+C22</f>
        <v/>
      </c>
      <c r="D23" s="13">
        <f>D21+D22</f>
        <v/>
      </c>
    </row>
    <row r="25">
      <c r="A25" s="16" t="inlineStr">
        <is>
          <t>The three levers that move year 2 from breakeven into profit, in order of effect:</t>
        </is>
      </c>
    </row>
    <row r="26">
      <c r="A26" s="6" t="inlineStr">
        <is>
          <t>1.  Advisory retainers. Each adds ~INR 1.14 lakh of contribution, with no seasonality and no delivery infrastructure.</t>
        </is>
      </c>
    </row>
    <row r="27">
      <c r="A27" s="6" t="inlineStr">
        <is>
          <t>2.  Coaching. 57.8% margin, deliverable online, scales without a trainer bench.</t>
        </is>
      </c>
    </row>
    <row r="28">
      <c r="A28" s="6" t="inlineStr">
        <is>
          <t>3.  Local trainer bench density. Every city reaching four certified trainers converts student delivery from 6% to 30% margin.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CA9C16-A2BF-46D7-8A5F-332CB910A095}"/>
</file>

<file path=customXml/itemProps2.xml><?xml version="1.0" encoding="utf-8"?>
<ds:datastoreItem xmlns:ds="http://schemas.openxmlformats.org/officeDocument/2006/customXml" ds:itemID="{1FA4F462-D904-4F54-92BC-A980927F7458}"/>
</file>

<file path=customXml/itemProps3.xml><?xml version="1.0" encoding="utf-8"?>
<ds:datastoreItem xmlns:ds="http://schemas.openxmlformats.org/officeDocument/2006/customXml" ds:itemID="{CD2C2CE4-1DAF-4089-BEA4-798B76EBC0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2026-07-22T11:45:11Z</dcterms:created>
  <dcterms:modified xsi:type="dcterms:W3CDTF">2026-07-22T11:45:11Z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